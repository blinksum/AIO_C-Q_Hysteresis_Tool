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cho\Desktop\"/>
    </mc:Choice>
  </mc:AlternateContent>
  <xr:revisionPtr revIDLastSave="0" documentId="13_ncr:1_{3F4CE7D3-3E34-4C04-8240-B45968F64244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Data-launch " sheetId="2" r:id="rId1"/>
    <sheet name="Sheet1" sheetId="1" state="hidden" r:id="rId2"/>
    <sheet name="Sheet3" sheetId="4" state="hidden" r:id="rId3"/>
    <sheet name="Events" sheetId="5" r:id="rId4"/>
    <sheet name="Data" sheetId="6" r:id="rId5"/>
    <sheet name="Sheet4" sheetId="7" state="hidden" r:id="rId6"/>
    <sheet name="Sheet2" sheetId="3" state="hidden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3" i="4" l="1"/>
  <c r="AF3" i="4" s="1"/>
  <c r="AB4" i="4"/>
  <c r="AF5" i="4" s="1"/>
  <c r="AB5" i="4"/>
  <c r="AF7" i="4" s="1"/>
  <c r="AB6" i="4"/>
  <c r="AF10" i="4" s="1"/>
  <c r="AB7" i="4"/>
  <c r="AF12" i="4" s="1"/>
  <c r="AB8" i="4"/>
  <c r="AF14" i="4" s="1"/>
  <c r="AB9" i="4"/>
  <c r="AF15" i="4" s="1"/>
  <c r="AB10" i="4"/>
  <c r="AF18" i="4" s="1"/>
  <c r="AB11" i="4"/>
  <c r="AF19" i="4" s="1"/>
  <c r="AB12" i="4"/>
  <c r="AF22" i="4" s="1"/>
  <c r="AB13" i="4"/>
  <c r="AF23" i="4" s="1"/>
  <c r="AB14" i="4"/>
  <c r="AF26" i="4" s="1"/>
  <c r="AB15" i="4"/>
  <c r="AF28" i="4" s="1"/>
  <c r="AB16" i="4"/>
  <c r="AF30" i="4" s="1"/>
  <c r="AB17" i="4"/>
  <c r="AF32" i="4" s="1"/>
  <c r="AB18" i="4"/>
  <c r="AF34" i="4" s="1"/>
  <c r="AB19" i="4"/>
  <c r="AF35" i="4" s="1"/>
  <c r="AB20" i="4"/>
  <c r="AF38" i="4" s="1"/>
  <c r="AB21" i="4"/>
  <c r="AF39" i="4" s="1"/>
  <c r="AB2" i="4"/>
  <c r="AA3" i="4"/>
  <c r="AE3" i="4" s="1"/>
  <c r="AA4" i="4"/>
  <c r="AA5" i="4"/>
  <c r="AE7" i="4" s="1"/>
  <c r="AA6" i="4"/>
  <c r="AA7" i="4"/>
  <c r="AE11" i="4" s="1"/>
  <c r="AA8" i="4"/>
  <c r="AA9" i="4"/>
  <c r="AE15" i="4" s="1"/>
  <c r="AA10" i="4"/>
  <c r="AA11" i="4"/>
  <c r="AE19" i="4" s="1"/>
  <c r="AA12" i="4"/>
  <c r="AA13" i="4"/>
  <c r="AE23" i="4" s="1"/>
  <c r="AA14" i="4"/>
  <c r="AA15" i="4"/>
  <c r="AE27" i="4" s="1"/>
  <c r="AA16" i="4"/>
  <c r="AA17" i="4"/>
  <c r="AE31" i="4" s="1"/>
  <c r="AA18" i="4"/>
  <c r="AA19" i="4"/>
  <c r="AE35" i="4" s="1"/>
  <c r="AA20" i="4"/>
  <c r="AA21" i="4"/>
  <c r="AE39" i="4" s="1"/>
  <c r="AA2" i="4"/>
  <c r="AG39" i="4" l="1"/>
  <c r="AF40" i="4"/>
  <c r="AF37" i="4"/>
  <c r="AG35" i="4"/>
  <c r="AF36" i="4"/>
  <c r="AF33" i="4"/>
  <c r="AF31" i="4"/>
  <c r="AG31" i="4" s="1"/>
  <c r="AF29" i="4"/>
  <c r="AF27" i="4"/>
  <c r="AG27" i="4" s="1"/>
  <c r="AF25" i="4"/>
  <c r="AG23" i="4"/>
  <c r="AF24" i="4"/>
  <c r="AF21" i="4"/>
  <c r="AG19" i="4"/>
  <c r="AF20" i="4"/>
  <c r="AF17" i="4"/>
  <c r="AG15" i="4"/>
  <c r="AF16" i="4"/>
  <c r="AF13" i="4"/>
  <c r="AF11" i="4"/>
  <c r="AG11" i="4" s="1"/>
  <c r="AF9" i="4"/>
  <c r="AG7" i="4"/>
  <c r="AF8" i="4"/>
  <c r="AG3" i="4"/>
  <c r="AF4" i="4"/>
  <c r="AE1" i="4"/>
  <c r="AE2" i="4"/>
  <c r="AE37" i="4"/>
  <c r="AE38" i="4"/>
  <c r="AG38" i="4" s="1"/>
  <c r="AE33" i="4"/>
  <c r="AE34" i="4"/>
  <c r="AG34" i="4" s="1"/>
  <c r="AE29" i="4"/>
  <c r="AE30" i="4"/>
  <c r="AG30" i="4" s="1"/>
  <c r="AE25" i="4"/>
  <c r="AE26" i="4"/>
  <c r="AG26" i="4" s="1"/>
  <c r="AE21" i="4"/>
  <c r="AE22" i="4"/>
  <c r="AG22" i="4" s="1"/>
  <c r="AE17" i="4"/>
  <c r="AE18" i="4"/>
  <c r="AG18" i="4" s="1"/>
  <c r="AE13" i="4"/>
  <c r="AE14" i="4"/>
  <c r="AG14" i="4" s="1"/>
  <c r="AE9" i="4"/>
  <c r="AE10" i="4"/>
  <c r="AG10" i="4" s="1"/>
  <c r="AE5" i="4"/>
  <c r="AG5" i="4" s="1"/>
  <c r="AE6" i="4"/>
  <c r="AF1" i="4"/>
  <c r="AF2" i="4"/>
  <c r="AF6" i="4"/>
  <c r="AE40" i="4"/>
  <c r="AE36" i="4"/>
  <c r="AE32" i="4"/>
  <c r="AG32" i="4" s="1"/>
  <c r="AE28" i="4"/>
  <c r="AG28" i="4" s="1"/>
  <c r="AE24" i="4"/>
  <c r="AE20" i="4"/>
  <c r="AE16" i="4"/>
  <c r="AE12" i="4"/>
  <c r="AG12" i="4" s="1"/>
  <c r="AE8" i="4"/>
  <c r="AE4" i="4"/>
  <c r="B2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AG33" i="4" l="1"/>
  <c r="AG25" i="4"/>
  <c r="AG16" i="4"/>
  <c r="Y21" i="4"/>
  <c r="AC40" i="4" s="1"/>
  <c r="AG4" i="4"/>
  <c r="AG40" i="4"/>
  <c r="AG37" i="4"/>
  <c r="AG36" i="4"/>
  <c r="AG29" i="4"/>
  <c r="AG24" i="4"/>
  <c r="AG21" i="4"/>
  <c r="AG20" i="4"/>
  <c r="AG17" i="4"/>
  <c r="AG13" i="4"/>
  <c r="AG9" i="4"/>
  <c r="AG8" i="4"/>
  <c r="AG6" i="4"/>
  <c r="Y19" i="4"/>
  <c r="AC36" i="4" s="1"/>
  <c r="Y15" i="4"/>
  <c r="AC28" i="4" s="1"/>
  <c r="Y11" i="4"/>
  <c r="AC20" i="4" s="1"/>
  <c r="Y7" i="4"/>
  <c r="AC12" i="4" s="1"/>
  <c r="Y3" i="4"/>
  <c r="AC4" i="4" s="1"/>
  <c r="Z19" i="4"/>
  <c r="AD36" i="4" s="1"/>
  <c r="Z15" i="4"/>
  <c r="AD27" i="4" s="1"/>
  <c r="Z11" i="4"/>
  <c r="AD19" i="4" s="1"/>
  <c r="Z7" i="4"/>
  <c r="AD11" i="4" s="1"/>
  <c r="Z3" i="4"/>
  <c r="AD4" i="4" s="1"/>
  <c r="Y17" i="4"/>
  <c r="AC32" i="4" s="1"/>
  <c r="Y13" i="4"/>
  <c r="AC23" i="4" s="1"/>
  <c r="Y9" i="4"/>
  <c r="AC15" i="4" s="1"/>
  <c r="Y5" i="4"/>
  <c r="AC7" i="4" s="1"/>
  <c r="Z21" i="4"/>
  <c r="AD39" i="4" s="1"/>
  <c r="Z17" i="4"/>
  <c r="AD31" i="4" s="1"/>
  <c r="Z13" i="4"/>
  <c r="AD24" i="4" s="1"/>
  <c r="Z9" i="4"/>
  <c r="AD16" i="4" s="1"/>
  <c r="Z5" i="4"/>
  <c r="AD7" i="4" s="1"/>
  <c r="AG2" i="4"/>
  <c r="AG1" i="4"/>
  <c r="Y20" i="4"/>
  <c r="Y18" i="4"/>
  <c r="Y16" i="4"/>
  <c r="Y14" i="4"/>
  <c r="Y12" i="4"/>
  <c r="Y10" i="4"/>
  <c r="Y8" i="4"/>
  <c r="Y6" i="4"/>
  <c r="Y4" i="4"/>
  <c r="Z20" i="4"/>
  <c r="Z18" i="4"/>
  <c r="Z16" i="4"/>
  <c r="Z14" i="4"/>
  <c r="Z12" i="4"/>
  <c r="Z10" i="4"/>
  <c r="Z8" i="4"/>
  <c r="Z6" i="4"/>
  <c r="Z4" i="4"/>
  <c r="B2" i="4"/>
  <c r="Y2" i="4" s="1"/>
  <c r="AC24" i="4" l="1"/>
  <c r="AC39" i="4"/>
  <c r="AC11" i="4"/>
  <c r="AD20" i="4"/>
  <c r="AC8" i="4"/>
  <c r="AD15" i="4"/>
  <c r="AC27" i="4"/>
  <c r="AC3" i="4"/>
  <c r="AD3" i="4"/>
  <c r="AD35" i="4"/>
  <c r="AC16" i="4"/>
  <c r="AC19" i="4"/>
  <c r="AC35" i="4"/>
  <c r="AD12" i="4"/>
  <c r="AD23" i="4"/>
  <c r="AD28" i="4"/>
  <c r="AC31" i="4"/>
  <c r="AD8" i="4"/>
  <c r="AD32" i="4"/>
  <c r="AD40" i="4"/>
  <c r="AD5" i="4"/>
  <c r="AD6" i="4"/>
  <c r="AD13" i="4"/>
  <c r="AD14" i="4"/>
  <c r="AD21" i="4"/>
  <c r="AD22" i="4"/>
  <c r="AD29" i="4"/>
  <c r="AD30" i="4"/>
  <c r="AD37" i="4"/>
  <c r="AD38" i="4"/>
  <c r="AC26" i="4"/>
  <c r="AC25" i="4"/>
  <c r="AC34" i="4"/>
  <c r="AC33" i="4"/>
  <c r="AD9" i="4"/>
  <c r="AD10" i="4"/>
  <c r="AD17" i="4"/>
  <c r="AD18" i="4"/>
  <c r="AD25" i="4"/>
  <c r="AD26" i="4"/>
  <c r="AD33" i="4"/>
  <c r="AD34" i="4"/>
  <c r="AC22" i="4"/>
  <c r="AC21" i="4"/>
  <c r="AC30" i="4"/>
  <c r="AC29" i="4"/>
  <c r="AC38" i="4"/>
  <c r="AC37" i="4"/>
  <c r="AC9" i="4"/>
  <c r="AC10" i="4"/>
  <c r="AC17" i="4"/>
  <c r="AC18" i="4"/>
  <c r="AC1" i="4"/>
  <c r="AC2" i="4"/>
  <c r="AC5" i="4"/>
  <c r="AC6" i="4"/>
  <c r="AC13" i="4"/>
  <c r="AC14" i="4"/>
  <c r="D2" i="4"/>
  <c r="Z2" i="4" s="1"/>
  <c r="AD1" i="4" l="1"/>
  <c r="A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" i="4"/>
  <c r="E21" i="4" l="1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P8" i="4" l="1"/>
  <c r="R8" i="4" s="1"/>
  <c r="P9" i="4"/>
  <c r="R9" i="4" s="1"/>
  <c r="P2" i="4"/>
  <c r="R2" i="4" s="1"/>
  <c r="P3" i="4"/>
  <c r="R3" i="4" s="1"/>
  <c r="P6" i="4"/>
  <c r="R6" i="4" s="1"/>
  <c r="P7" i="4"/>
  <c r="R7" i="4" s="1"/>
  <c r="P10" i="4"/>
  <c r="R10" i="4" s="1"/>
  <c r="P11" i="4"/>
  <c r="R11" i="4" s="1"/>
  <c r="P14" i="4"/>
  <c r="R14" i="4" s="1"/>
  <c r="P15" i="4"/>
  <c r="R15" i="4" s="1"/>
  <c r="P18" i="4"/>
  <c r="R18" i="4" s="1"/>
  <c r="P19" i="4"/>
  <c r="R19" i="4" s="1"/>
  <c r="P22" i="4"/>
  <c r="R22" i="4" s="1"/>
  <c r="P23" i="4"/>
  <c r="R23" i="4" s="1"/>
  <c r="P26" i="4"/>
  <c r="R26" i="4" s="1"/>
  <c r="P27" i="4"/>
  <c r="R27" i="4" s="1"/>
  <c r="P30" i="4"/>
  <c r="R30" i="4" s="1"/>
  <c r="P31" i="4"/>
  <c r="R31" i="4" s="1"/>
  <c r="P34" i="4"/>
  <c r="R34" i="4" s="1"/>
  <c r="P35" i="4"/>
  <c r="R35" i="4" s="1"/>
  <c r="P38" i="4"/>
  <c r="R38" i="4" s="1"/>
  <c r="P39" i="4"/>
  <c r="R39" i="4" s="1"/>
  <c r="P4" i="4"/>
  <c r="R4" i="4" s="1"/>
  <c r="P5" i="4"/>
  <c r="R5" i="4" s="1"/>
  <c r="P12" i="4"/>
  <c r="R12" i="4" s="1"/>
  <c r="P13" i="4"/>
  <c r="R13" i="4" s="1"/>
  <c r="P16" i="4"/>
  <c r="R16" i="4" s="1"/>
  <c r="P17" i="4"/>
  <c r="R17" i="4" s="1"/>
  <c r="P20" i="4"/>
  <c r="R20" i="4" s="1"/>
  <c r="P21" i="4"/>
  <c r="R21" i="4" s="1"/>
  <c r="P24" i="4"/>
  <c r="R24" i="4" s="1"/>
  <c r="P25" i="4"/>
  <c r="R25" i="4" s="1"/>
  <c r="P28" i="4"/>
  <c r="R28" i="4" s="1"/>
  <c r="P29" i="4"/>
  <c r="R29" i="4" s="1"/>
  <c r="P32" i="4"/>
  <c r="R32" i="4" s="1"/>
  <c r="P33" i="4"/>
  <c r="R33" i="4" s="1"/>
  <c r="P36" i="4"/>
  <c r="R36" i="4" s="1"/>
  <c r="P37" i="4"/>
  <c r="R37" i="4" s="1"/>
  <c r="P40" i="4"/>
  <c r="R40" i="4" s="1"/>
  <c r="P41" i="4"/>
  <c r="R41" i="4" s="1"/>
</calcChain>
</file>

<file path=xl/sharedStrings.xml><?xml version="1.0" encoding="utf-8"?>
<sst xmlns="http://schemas.openxmlformats.org/spreadsheetml/2006/main" count="146" uniqueCount="107">
  <si>
    <t>T</t>
  </si>
  <si>
    <t>Q</t>
  </si>
  <si>
    <t>C</t>
  </si>
  <si>
    <t>Tr</t>
  </si>
  <si>
    <t>Qr</t>
  </si>
  <si>
    <t>Cr</t>
  </si>
  <si>
    <t>Tf</t>
  </si>
  <si>
    <t>Qf</t>
  </si>
  <si>
    <t>Cf</t>
  </si>
  <si>
    <t>Rcf</t>
  </si>
  <si>
    <t>Delta</t>
  </si>
  <si>
    <t>Long sequence</t>
  </si>
  <si>
    <t>Short sequence</t>
  </si>
  <si>
    <t>Amp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</si>
  <si>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</si>
  <si>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</si>
  <si>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</si>
  <si>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</si>
  <si>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</si>
  <si>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</si>
  <si>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</si>
  <si>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</si>
  <si>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</si>
  <si>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ID</t>
  </si>
  <si>
    <t>Sub ID</t>
  </si>
  <si>
    <t>Station</t>
  </si>
  <si>
    <t>Start</t>
  </si>
  <si>
    <t>End</t>
  </si>
  <si>
    <t>Rising limb Duration</t>
  </si>
  <si>
    <t>Peak</t>
  </si>
  <si>
    <t>min</t>
  </si>
  <si>
    <t>Hystresis</t>
  </si>
  <si>
    <t>sequence</t>
  </si>
  <si>
    <t>PI-1</t>
  </si>
  <si>
    <t>PI-A1</t>
  </si>
  <si>
    <t>PI-2</t>
  </si>
  <si>
    <t>PI-A2</t>
  </si>
  <si>
    <t>PI-3</t>
  </si>
  <si>
    <t>PI-A3</t>
  </si>
  <si>
    <t>PI-4</t>
  </si>
  <si>
    <t>PI-A4</t>
  </si>
  <si>
    <t>PI-5</t>
  </si>
  <si>
    <t>PI-A5</t>
  </si>
  <si>
    <t>Event</t>
  </si>
  <si>
    <t>C Rise</t>
  </si>
  <si>
    <t>Falling time</t>
  </si>
  <si>
    <t>Q fall</t>
  </si>
  <si>
    <t>Cfall</t>
  </si>
  <si>
    <t>RPA rising</t>
  </si>
  <si>
    <t>RPA falling</t>
  </si>
  <si>
    <t>PI-W1</t>
  </si>
  <si>
    <t>PI-W2</t>
  </si>
  <si>
    <t>PI-W3</t>
  </si>
  <si>
    <t>PI-W4</t>
  </si>
  <si>
    <t>PI-W5</t>
  </si>
  <si>
    <t>Width</t>
  </si>
  <si>
    <t>Ramp</t>
  </si>
  <si>
    <t>Class</t>
  </si>
  <si>
    <t>A rising</t>
  </si>
  <si>
    <t>A falling</t>
  </si>
  <si>
    <t>RA rising</t>
  </si>
  <si>
    <t>Ra Falling</t>
  </si>
  <si>
    <t>y</t>
  </si>
  <si>
    <t>z</t>
  </si>
  <si>
    <t>Figure of 8</t>
  </si>
  <si>
    <t>yz</t>
  </si>
  <si>
    <t>Column12</t>
  </si>
  <si>
    <t xml:space="preserve"> T-rising</t>
  </si>
  <si>
    <t>T_falling</t>
  </si>
  <si>
    <t>T_Sel_Rising</t>
  </si>
  <si>
    <t>Q_Sel_Rising</t>
  </si>
  <si>
    <t>C_Sel_Rising</t>
  </si>
  <si>
    <t>T_Sel_Falling</t>
  </si>
  <si>
    <t>Q_Sel_Falling</t>
  </si>
  <si>
    <t>C_Sel_Falling</t>
  </si>
  <si>
    <t>Y_Sel _Rising</t>
  </si>
  <si>
    <t>Y_Sel_Falling</t>
  </si>
  <si>
    <t>Y_Increment</t>
  </si>
  <si>
    <t>Time Treated</t>
  </si>
  <si>
    <t>Q Treated</t>
  </si>
  <si>
    <t>C Treated</t>
  </si>
  <si>
    <t>Y_Obs</t>
  </si>
  <si>
    <t>Min_C_Sel</t>
  </si>
  <si>
    <t>Y_Channel_Rising</t>
  </si>
  <si>
    <t>Y_Channel_Falling</t>
  </si>
  <si>
    <t>Y_Channel</t>
  </si>
  <si>
    <t>x</t>
  </si>
  <si>
    <t>Sediment Yield</t>
  </si>
  <si>
    <t>Internal Sediment Yield</t>
  </si>
  <si>
    <t>External Sediment Yield</t>
  </si>
  <si>
    <t>Absolute Amplitude</t>
  </si>
  <si>
    <t>PI-Y_T1</t>
  </si>
  <si>
    <t>PI-Y_EXT1</t>
  </si>
  <si>
    <t>PI-Y_T2</t>
  </si>
  <si>
    <t>PI-Y_EXT2</t>
  </si>
  <si>
    <t>PI-Y_T3</t>
  </si>
  <si>
    <t>PI-Y_EXT3</t>
  </si>
  <si>
    <t>PI-Y_T4</t>
  </si>
  <si>
    <t>PI-Y_EXT4</t>
  </si>
  <si>
    <t>PI-Y_T5</t>
  </si>
  <si>
    <t>PI-Y_EXT5</t>
  </si>
  <si>
    <t>PI-6</t>
  </si>
  <si>
    <t>PI-W6</t>
  </si>
  <si>
    <t>PI-A6</t>
  </si>
  <si>
    <t>PI-Y_T6</t>
  </si>
  <si>
    <t>PI-Y_EXT6</t>
  </si>
  <si>
    <t>HI_Zuecco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</si>
</sst>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EAABF7"/>
        <bgColor indexed="64"/>
      </patternFill>
    </fill>
    <fill>
      <patternFill patternType="solid">
        <fgColor rgb="FFBDFBBE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5" borderId="1" xfId="0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7" borderId="0" xfId="0" applyFont="1" applyFill="1" applyBorder="1"/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4" fontId="0" fillId="0" borderId="1" xfId="0" applyNumberFormat="1" applyBorder="1"/>
    <xf numFmtId="0" fontId="3" fillId="8" borderId="4" xfId="0" applyFont="1" applyFill="1" applyBorder="1"/>
    <xf numFmtId="0" fontId="3" fillId="8" borderId="5" xfId="0" applyFont="1" applyFill="1" applyBorder="1"/>
    <xf numFmtId="0" fontId="2" fillId="9" borderId="1" xfId="0" applyFont="1" applyFill="1" applyBorder="1"/>
    <xf numFmtId="0" fontId="2" fillId="10" borderId="1" xfId="0" applyFont="1" applyFill="1" applyBorder="1"/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11" borderId="1" xfId="0" applyFill="1" applyBorder="1"/>
    <xf numFmtId="0" fontId="2" fillId="11" borderId="1" xfId="0" applyFont="1" applyFill="1" applyBorder="1"/>
    <xf numFmtId="14" fontId="0" fillId="0" borderId="1" xfId="0" applyNumberFormat="1" applyBorder="1" applyAlignment="1">
      <alignment horizontal="center"/>
    </xf>
    <xf numFmtId="0" fontId="3" fillId="8" borderId="4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FBBE"/>
      <color rgb="FFEAA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Discharge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Sheet1!$S$2:$S$42</c:f>
              <c:numCache>
                <c:formatCode>General</c:formatCode>
                <c:ptCount val="41"/>
                <c:pt idx="0">
                  <c:v>42331.177083333336</c:v>
                </c:pt>
                <c:pt idx="1">
                  <c:v>42331.177083333336</c:v>
                </c:pt>
                <c:pt idx="2">
                  <c:v>42331.1875</c:v>
                </c:pt>
                <c:pt idx="3">
                  <c:v>42331.197916666664</c:v>
                </c:pt>
                <c:pt idx="4">
                  <c:v>42331.208333333336</c:v>
                </c:pt>
                <c:pt idx="5">
                  <c:v>42331.215277777781</c:v>
                </c:pt>
                <c:pt idx="6">
                  <c:v>42331.21875</c:v>
                </c:pt>
                <c:pt idx="7">
                  <c:v>42331.222222222219</c:v>
                </c:pt>
                <c:pt idx="8">
                  <c:v>42331.225694444445</c:v>
                </c:pt>
                <c:pt idx="9">
                  <c:v>42331.229166666664</c:v>
                </c:pt>
                <c:pt idx="10">
                  <c:v>42331.232638888891</c:v>
                </c:pt>
                <c:pt idx="11">
                  <c:v>42331.236111111109</c:v>
                </c:pt>
                <c:pt idx="12">
                  <c:v>42331.239583333336</c:v>
                </c:pt>
                <c:pt idx="13">
                  <c:v>42331.243055555555</c:v>
                </c:pt>
                <c:pt idx="14">
                  <c:v>42331.246527777781</c:v>
                </c:pt>
                <c:pt idx="15">
                  <c:v>42331.25</c:v>
                </c:pt>
                <c:pt idx="16">
                  <c:v>42331.253472222219</c:v>
                </c:pt>
                <c:pt idx="17">
                  <c:v>42331.256944444445</c:v>
                </c:pt>
                <c:pt idx="18">
                  <c:v>42331.260416666664</c:v>
                </c:pt>
                <c:pt idx="19">
                  <c:v>42331.263888888891</c:v>
                </c:pt>
                <c:pt idx="20">
                  <c:v>42331.267361111109</c:v>
                </c:pt>
                <c:pt idx="21">
                  <c:v>42331.270833333336</c:v>
                </c:pt>
                <c:pt idx="22">
                  <c:v>42331.274305555555</c:v>
                </c:pt>
                <c:pt idx="23">
                  <c:v>42331.277777777781</c:v>
                </c:pt>
                <c:pt idx="24">
                  <c:v>42331.28125</c:v>
                </c:pt>
                <c:pt idx="25">
                  <c:v>42331.284722222219</c:v>
                </c:pt>
                <c:pt idx="26">
                  <c:v>42331.284722222219</c:v>
                </c:pt>
                <c:pt idx="27">
                  <c:v>42331.288194444445</c:v>
                </c:pt>
                <c:pt idx="28">
                  <c:v>42331.291666666664</c:v>
                </c:pt>
                <c:pt idx="29">
                  <c:v>42331.295138888891</c:v>
                </c:pt>
                <c:pt idx="30">
                  <c:v>42331.298611111109</c:v>
                </c:pt>
                <c:pt idx="31">
                  <c:v>42331.302083333336</c:v>
                </c:pt>
                <c:pt idx="32">
                  <c:v>42331.305555555555</c:v>
                </c:pt>
                <c:pt idx="33">
                  <c:v>42331.309027777781</c:v>
                </c:pt>
                <c:pt idx="34">
                  <c:v>42331.3125</c:v>
                </c:pt>
                <c:pt idx="35">
                  <c:v>42331.315972222219</c:v>
                </c:pt>
                <c:pt idx="36">
                  <c:v>42331.319444444445</c:v>
                </c:pt>
                <c:pt idx="37">
                  <c:v>42331.322916666664</c:v>
                </c:pt>
                <c:pt idx="38">
                  <c:v>42331.326388888891</c:v>
                </c:pt>
                <c:pt idx="39">
                  <c:v>42331.329861111109</c:v>
                </c:pt>
                <c:pt idx="40">
                  <c:v>42331.333333333336</c:v>
                </c:pt>
              </c:numCache>
            </c:numRef>
          </c:xVal>
          <c:yVal>
            <c:numRef>
              <c:f>Sheet1!$T$2:$T$42</c:f>
              <c:numCache>
                <c:formatCode>General</c:formatCode>
                <c:ptCount val="41"/>
                <c:pt idx="0">
                  <c:v>4.1908932956160001</c:v>
                </c:pt>
                <c:pt idx="1">
                  <c:v>4.1908932956160001</c:v>
                </c:pt>
                <c:pt idx="2">
                  <c:v>4.2192101422080004</c:v>
                </c:pt>
                <c:pt idx="3">
                  <c:v>4.445744914944</c:v>
                </c:pt>
                <c:pt idx="4">
                  <c:v>4.8988144604159993</c:v>
                </c:pt>
                <c:pt idx="5">
                  <c:v>5.9182209377280008</c:v>
                </c:pt>
                <c:pt idx="6">
                  <c:v>8.1269349719039994</c:v>
                </c:pt>
                <c:pt idx="7">
                  <c:v>14.384958068736001</c:v>
                </c:pt>
                <c:pt idx="8">
                  <c:v>22.880012046335999</c:v>
                </c:pt>
                <c:pt idx="9">
                  <c:v>31.714868183040004</c:v>
                </c:pt>
                <c:pt idx="10">
                  <c:v>39.643585228799999</c:v>
                </c:pt>
                <c:pt idx="11">
                  <c:v>45.3069545472</c:v>
                </c:pt>
                <c:pt idx="12">
                  <c:v>47.855470740480001</c:v>
                </c:pt>
                <c:pt idx="13">
                  <c:v>48.704976138240006</c:v>
                </c:pt>
                <c:pt idx="14">
                  <c:v>47.855470740480001</c:v>
                </c:pt>
                <c:pt idx="15">
                  <c:v>47.005965342720003</c:v>
                </c:pt>
                <c:pt idx="16">
                  <c:v>47.855470740480001</c:v>
                </c:pt>
                <c:pt idx="17">
                  <c:v>48.138639206400001</c:v>
                </c:pt>
                <c:pt idx="18">
                  <c:v>48.704976138240006</c:v>
                </c:pt>
                <c:pt idx="19">
                  <c:v>47.855470740480001</c:v>
                </c:pt>
                <c:pt idx="20">
                  <c:v>49.554481535999997</c:v>
                </c:pt>
                <c:pt idx="21">
                  <c:v>49.554481535999997</c:v>
                </c:pt>
                <c:pt idx="22">
                  <c:v>51.53666079744</c:v>
                </c:pt>
                <c:pt idx="23">
                  <c:v>60.598051706880007</c:v>
                </c:pt>
                <c:pt idx="24">
                  <c:v>65.695084093440002</c:v>
                </c:pt>
                <c:pt idx="25">
                  <c:v>69.376274150400008</c:v>
                </c:pt>
                <c:pt idx="26">
                  <c:v>69.376274150400008</c:v>
                </c:pt>
                <c:pt idx="27">
                  <c:v>67.960431820800011</c:v>
                </c:pt>
                <c:pt idx="28">
                  <c:v>64.279241763840005</c:v>
                </c:pt>
                <c:pt idx="29">
                  <c:v>62.580230968320002</c:v>
                </c:pt>
                <c:pt idx="30">
                  <c:v>63.712904832</c:v>
                </c:pt>
                <c:pt idx="31">
                  <c:v>63.712904832</c:v>
                </c:pt>
                <c:pt idx="32">
                  <c:v>62.580230968320002</c:v>
                </c:pt>
                <c:pt idx="33">
                  <c:v>61.447557104639998</c:v>
                </c:pt>
                <c:pt idx="34">
                  <c:v>60.598051706880007</c:v>
                </c:pt>
                <c:pt idx="35">
                  <c:v>59.465377843200002</c:v>
                </c:pt>
                <c:pt idx="36">
                  <c:v>60.031714775040001</c:v>
                </c:pt>
                <c:pt idx="37">
                  <c:v>60.31488324096</c:v>
                </c:pt>
                <c:pt idx="38">
                  <c:v>59.182209377280003</c:v>
                </c:pt>
                <c:pt idx="39">
                  <c:v>57.48319858176</c:v>
                </c:pt>
                <c:pt idx="40">
                  <c:v>55.217850854399998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F9-47ED-AA62-0EBE3B8E3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536968"/>
        <c:axId val="447537296"/>
      </c:scatterChart>
      <c:scatterChart>
        <c:scatterStyle val="lineMarker"/>
        <c:varyColors val="0"/>
        <c:ser>
          <c:idx val="1"/>
          <c:order val="1"/>
          <c:tx>
            <c:v>Concentration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Sheet1!$S$2:$S$42</c:f>
              <c:numCache>
                <c:formatCode>General</c:formatCode>
                <c:ptCount val="41"/>
                <c:pt idx="0">
                  <c:v>42331.177083333336</c:v>
                </c:pt>
                <c:pt idx="1">
                  <c:v>42331.177083333336</c:v>
                </c:pt>
                <c:pt idx="2">
                  <c:v>42331.1875</c:v>
                </c:pt>
                <c:pt idx="3">
                  <c:v>42331.197916666664</c:v>
                </c:pt>
                <c:pt idx="4">
                  <c:v>42331.208333333336</c:v>
                </c:pt>
                <c:pt idx="5">
                  <c:v>42331.215277777781</c:v>
                </c:pt>
                <c:pt idx="6">
                  <c:v>42331.21875</c:v>
                </c:pt>
                <c:pt idx="7">
                  <c:v>42331.222222222219</c:v>
                </c:pt>
                <c:pt idx="8">
                  <c:v>42331.225694444445</c:v>
                </c:pt>
                <c:pt idx="9">
                  <c:v>42331.229166666664</c:v>
                </c:pt>
                <c:pt idx="10">
                  <c:v>42331.232638888891</c:v>
                </c:pt>
                <c:pt idx="11">
                  <c:v>42331.236111111109</c:v>
                </c:pt>
                <c:pt idx="12">
                  <c:v>42331.239583333336</c:v>
                </c:pt>
                <c:pt idx="13">
                  <c:v>42331.243055555555</c:v>
                </c:pt>
                <c:pt idx="14">
                  <c:v>42331.246527777781</c:v>
                </c:pt>
                <c:pt idx="15">
                  <c:v>42331.25</c:v>
                </c:pt>
                <c:pt idx="16">
                  <c:v>42331.253472222219</c:v>
                </c:pt>
                <c:pt idx="17">
                  <c:v>42331.256944444445</c:v>
                </c:pt>
                <c:pt idx="18">
                  <c:v>42331.260416666664</c:v>
                </c:pt>
                <c:pt idx="19">
                  <c:v>42331.263888888891</c:v>
                </c:pt>
                <c:pt idx="20">
                  <c:v>42331.267361111109</c:v>
                </c:pt>
                <c:pt idx="21">
                  <c:v>42331.270833333336</c:v>
                </c:pt>
                <c:pt idx="22">
                  <c:v>42331.274305555555</c:v>
                </c:pt>
                <c:pt idx="23">
                  <c:v>42331.277777777781</c:v>
                </c:pt>
                <c:pt idx="24">
                  <c:v>42331.28125</c:v>
                </c:pt>
                <c:pt idx="25">
                  <c:v>42331.284722222219</c:v>
                </c:pt>
                <c:pt idx="26">
                  <c:v>42331.284722222219</c:v>
                </c:pt>
                <c:pt idx="27">
                  <c:v>42331.288194444445</c:v>
                </c:pt>
                <c:pt idx="28">
                  <c:v>42331.291666666664</c:v>
                </c:pt>
                <c:pt idx="29">
                  <c:v>42331.295138888891</c:v>
                </c:pt>
                <c:pt idx="30">
                  <c:v>42331.298611111109</c:v>
                </c:pt>
                <c:pt idx="31">
                  <c:v>42331.302083333336</c:v>
                </c:pt>
                <c:pt idx="32">
                  <c:v>42331.305555555555</c:v>
                </c:pt>
                <c:pt idx="33">
                  <c:v>42331.309027777781</c:v>
                </c:pt>
                <c:pt idx="34">
                  <c:v>42331.3125</c:v>
                </c:pt>
                <c:pt idx="35">
                  <c:v>42331.315972222219</c:v>
                </c:pt>
                <c:pt idx="36">
                  <c:v>42331.319444444445</c:v>
                </c:pt>
                <c:pt idx="37">
                  <c:v>42331.322916666664</c:v>
                </c:pt>
                <c:pt idx="38">
                  <c:v>42331.326388888891</c:v>
                </c:pt>
                <c:pt idx="39">
                  <c:v>42331.329861111109</c:v>
                </c:pt>
                <c:pt idx="40">
                  <c:v>42331.333333333336</c:v>
                </c:pt>
              </c:numCache>
            </c:numRef>
          </c:xVal>
          <c:yVal>
            <c:numRef>
              <c:f>Sheet1!$U$2:$U$42</c:f>
              <c:numCache>
                <c:formatCode>General</c:formatCode>
                <c:ptCount val="41"/>
                <c:pt idx="0">
                  <c:v>39.200000000000003</c:v>
                </c:pt>
                <c:pt idx="1">
                  <c:v>39.200000000000003</c:v>
                </c:pt>
                <c:pt idx="2">
                  <c:v>50.1</c:v>
                </c:pt>
                <c:pt idx="3">
                  <c:v>78</c:v>
                </c:pt>
                <c:pt idx="4">
                  <c:v>115</c:v>
                </c:pt>
                <c:pt idx="5">
                  <c:v>228</c:v>
                </c:pt>
                <c:pt idx="6">
                  <c:v>468</c:v>
                </c:pt>
                <c:pt idx="7">
                  <c:v>4710</c:v>
                </c:pt>
                <c:pt idx="8">
                  <c:v>9330</c:v>
                </c:pt>
                <c:pt idx="9">
                  <c:v>11300</c:v>
                </c:pt>
                <c:pt idx="10">
                  <c:v>12100</c:v>
                </c:pt>
                <c:pt idx="11">
                  <c:v>12900</c:v>
                </c:pt>
                <c:pt idx="12">
                  <c:v>11900</c:v>
                </c:pt>
                <c:pt idx="13">
                  <c:v>10900</c:v>
                </c:pt>
                <c:pt idx="14">
                  <c:v>9830</c:v>
                </c:pt>
                <c:pt idx="15">
                  <c:v>9040</c:v>
                </c:pt>
                <c:pt idx="16">
                  <c:v>8830</c:v>
                </c:pt>
                <c:pt idx="17">
                  <c:v>8630</c:v>
                </c:pt>
                <c:pt idx="18">
                  <c:v>8430</c:v>
                </c:pt>
                <c:pt idx="19">
                  <c:v>8220</c:v>
                </c:pt>
                <c:pt idx="20">
                  <c:v>8020</c:v>
                </c:pt>
                <c:pt idx="21">
                  <c:v>7820</c:v>
                </c:pt>
                <c:pt idx="22">
                  <c:v>7610</c:v>
                </c:pt>
                <c:pt idx="23">
                  <c:v>7410</c:v>
                </c:pt>
                <c:pt idx="24">
                  <c:v>5930</c:v>
                </c:pt>
                <c:pt idx="25">
                  <c:v>18000</c:v>
                </c:pt>
                <c:pt idx="26">
                  <c:v>18000</c:v>
                </c:pt>
                <c:pt idx="27">
                  <c:v>16800</c:v>
                </c:pt>
                <c:pt idx="28">
                  <c:v>15600</c:v>
                </c:pt>
                <c:pt idx="29">
                  <c:v>14500</c:v>
                </c:pt>
                <c:pt idx="30">
                  <c:v>13300</c:v>
                </c:pt>
                <c:pt idx="31">
                  <c:v>12100</c:v>
                </c:pt>
                <c:pt idx="32">
                  <c:v>10900</c:v>
                </c:pt>
                <c:pt idx="33">
                  <c:v>9990</c:v>
                </c:pt>
                <c:pt idx="34">
                  <c:v>9430</c:v>
                </c:pt>
                <c:pt idx="35">
                  <c:v>8860</c:v>
                </c:pt>
                <c:pt idx="36">
                  <c:v>8300</c:v>
                </c:pt>
                <c:pt idx="37">
                  <c:v>7730</c:v>
                </c:pt>
                <c:pt idx="38">
                  <c:v>7170</c:v>
                </c:pt>
                <c:pt idx="39">
                  <c:v>6600</c:v>
                </c:pt>
                <c:pt idx="40">
                  <c:v>6250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F9-47ED-AA62-0EBE3B8E3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078584"/>
        <c:axId val="294762200"/>
      </c:scatterChart>
      <c:valAx>
        <c:axId val="447536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7296"/>
        <c:crosses val="autoZero"/>
        <c:crossBetween val="midCat"/>
      </c:valAx>
      <c:valAx>
        <c:axId val="447537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6968"/>
        <c:crosses val="autoZero"/>
        <c:crossBetween val="midCat"/>
      </c:valAx>
      <c:valAx>
        <c:axId val="2947622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78584"/>
        <c:crosses val="max"/>
        <c:crossBetween val="midCat"/>
      </c:valAx>
      <c:valAx>
        <c:axId val="376078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4762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Rising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Sheet1!$K$2:$K$22</c:f>
              <c:numCache>
                <c:formatCode>General</c:formatCode>
                <c:ptCount val="21"/>
                <c:pt idx="0">
                  <c:v>4.1908932956160001</c:v>
                </c:pt>
                <c:pt idx="1">
                  <c:v>7.4501623383552005</c:v>
                </c:pt>
                <c:pt idx="2">
                  <c:v>10.709431381094401</c:v>
                </c:pt>
                <c:pt idx="3">
                  <c:v>13.968700423833601</c:v>
                </c:pt>
                <c:pt idx="4">
                  <c:v>17.227969466572802</c:v>
                </c:pt>
                <c:pt idx="5">
                  <c:v>20.487238509312</c:v>
                </c:pt>
                <c:pt idx="6">
                  <c:v>23.746507552051199</c:v>
                </c:pt>
                <c:pt idx="7">
                  <c:v>27.005776594790397</c:v>
                </c:pt>
                <c:pt idx="8">
                  <c:v>30.265045637529596</c:v>
                </c:pt>
                <c:pt idx="9">
                  <c:v>33.524314680268795</c:v>
                </c:pt>
                <c:pt idx="10">
                  <c:v>36.783583723007993</c:v>
                </c:pt>
                <c:pt idx="11">
                  <c:v>40.042852765747192</c:v>
                </c:pt>
                <c:pt idx="12">
                  <c:v>43.30212180848639</c:v>
                </c:pt>
                <c:pt idx="13">
                  <c:v>46.561390851225589</c:v>
                </c:pt>
                <c:pt idx="14">
                  <c:v>49.820659893964788</c:v>
                </c:pt>
                <c:pt idx="15">
                  <c:v>53.079928936703986</c:v>
                </c:pt>
                <c:pt idx="16">
                  <c:v>56.339197979443185</c:v>
                </c:pt>
                <c:pt idx="17">
                  <c:v>59.598467022182383</c:v>
                </c:pt>
                <c:pt idx="18">
                  <c:v>62.857736064921582</c:v>
                </c:pt>
                <c:pt idx="19">
                  <c:v>66.117005107660788</c:v>
                </c:pt>
                <c:pt idx="20">
                  <c:v>69.376274150399993</c:v>
                </c:pt>
              </c:numCache>
            </c:numRef>
          </c:xVal>
          <c:yVal>
            <c:numRef>
              <c:f>Sheet1!$L$2:$L$22</c:f>
              <c:numCache>
                <c:formatCode>General</c:formatCode>
                <c:ptCount val="21"/>
                <c:pt idx="0">
                  <c:v>39.200000000000003</c:v>
                </c:pt>
                <c:pt idx="1">
                  <c:v>394.46153841769467</c:v>
                </c:pt>
                <c:pt idx="2">
                  <c:v>2218.5448003379115</c:v>
                </c:pt>
                <c:pt idx="3">
                  <c:v>4427.8398177817835</c:v>
                </c:pt>
                <c:pt idx="4">
                  <c:v>6256.1599956241434</c:v>
                </c:pt>
                <c:pt idx="5">
                  <c:v>8028.7000022750581</c:v>
                </c:pt>
                <c:pt idx="6">
                  <c:v>9523.211539509437</c:v>
                </c:pt>
                <c:pt idx="7">
                  <c:v>10249.964741901462</c:v>
                </c:pt>
                <c:pt idx="8">
                  <c:v>10976.717948421574</c:v>
                </c:pt>
                <c:pt idx="9">
                  <c:v>11482.571427870342</c:v>
                </c:pt>
                <c:pt idx="10">
                  <c:v>11811.428572200904</c:v>
                </c:pt>
                <c:pt idx="11">
                  <c:v>12156.399999238924</c:v>
                </c:pt>
                <c:pt idx="12">
                  <c:v>12616.800000254811</c:v>
                </c:pt>
                <c:pt idx="13">
                  <c:v>12407.777778539134</c:v>
                </c:pt>
                <c:pt idx="14">
                  <c:v>7791.7999999823978</c:v>
                </c:pt>
                <c:pt idx="15">
                  <c:v>7575.9374999744614</c:v>
                </c:pt>
                <c:pt idx="16">
                  <c:v>7504.0000000712462</c:v>
                </c:pt>
                <c:pt idx="17">
                  <c:v>7432.062500168031</c:v>
                </c:pt>
                <c:pt idx="18">
                  <c:v>6753.8666677417859</c:v>
                </c:pt>
                <c:pt idx="19">
                  <c:v>7313.4076920742245</c:v>
                </c:pt>
                <c:pt idx="20">
                  <c:v>18000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DD-4528-A2C3-FC92B6CCCC05}"/>
            </c:ext>
          </c:extLst>
        </c:ser>
        <c:ser>
          <c:idx val="1"/>
          <c:order val="1"/>
          <c:tx>
            <c:v>Falling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Sheet1!$N$2:$N$22</c:f>
              <c:numCache>
                <c:formatCode>General</c:formatCode>
                <c:ptCount val="21"/>
                <c:pt idx="0">
                  <c:v>4.1908932956160001</c:v>
                </c:pt>
                <c:pt idx="1">
                  <c:v>7.4501623383552005</c:v>
                </c:pt>
                <c:pt idx="2">
                  <c:v>10.709431381094401</c:v>
                </c:pt>
                <c:pt idx="3">
                  <c:v>13.968700423833601</c:v>
                </c:pt>
                <c:pt idx="4">
                  <c:v>17.227969466572802</c:v>
                </c:pt>
                <c:pt idx="5">
                  <c:v>20.487238509312</c:v>
                </c:pt>
                <c:pt idx="6">
                  <c:v>23.746507552051199</c:v>
                </c:pt>
                <c:pt idx="7">
                  <c:v>27.005776594790397</c:v>
                </c:pt>
                <c:pt idx="8">
                  <c:v>30.265045637529596</c:v>
                </c:pt>
                <c:pt idx="9">
                  <c:v>33.524314680268795</c:v>
                </c:pt>
                <c:pt idx="10">
                  <c:v>36.783583723007993</c:v>
                </c:pt>
                <c:pt idx="11">
                  <c:v>40.042852765747192</c:v>
                </c:pt>
                <c:pt idx="12">
                  <c:v>43.30212180848639</c:v>
                </c:pt>
                <c:pt idx="13">
                  <c:v>46.561390851225589</c:v>
                </c:pt>
                <c:pt idx="14">
                  <c:v>49.820659893964788</c:v>
                </c:pt>
                <c:pt idx="15">
                  <c:v>53.079928936703986</c:v>
                </c:pt>
                <c:pt idx="16">
                  <c:v>56.339197979443185</c:v>
                </c:pt>
                <c:pt idx="17">
                  <c:v>59.598467022182383</c:v>
                </c:pt>
                <c:pt idx="18">
                  <c:v>62.857736064921582</c:v>
                </c:pt>
                <c:pt idx="19">
                  <c:v>66.117005107660788</c:v>
                </c:pt>
                <c:pt idx="20">
                  <c:v>69.376274150399993</c:v>
                </c:pt>
              </c:numCache>
            </c:numRef>
          </c:xVal>
          <c:yVal>
            <c:numRef>
              <c:f>Sheet1!$O$2:$O$22</c:f>
              <c:numCache>
                <c:formatCode>General</c:formatCode>
                <c:ptCount val="21"/>
                <c:pt idx="0">
                  <c:v>101.74999999965075</c:v>
                </c:pt>
                <c:pt idx="1">
                  <c:v>379.14999998910355</c:v>
                </c:pt>
                <c:pt idx="2">
                  <c:v>939.6999999867985</c:v>
                </c:pt>
                <c:pt idx="3">
                  <c:v>843.88181820804971</c:v>
                </c:pt>
                <c:pt idx="4">
                  <c:v>999.32307692926668</c:v>
                </c:pt>
                <c:pt idx="5">
                  <c:v>1940.8000000184402</c:v>
                </c:pt>
                <c:pt idx="6">
                  <c:v>2194.8000000477768</c:v>
                </c:pt>
                <c:pt idx="7">
                  <c:v>2419.3529412144358</c:v>
                </c:pt>
                <c:pt idx="8">
                  <c:v>2670.3999999882653</c:v>
                </c:pt>
                <c:pt idx="9">
                  <c:v>2832.8833333648704</c:v>
                </c:pt>
                <c:pt idx="10">
                  <c:v>3106.4285715543001</c:v>
                </c:pt>
                <c:pt idx="11">
                  <c:v>3396.2333334761051</c:v>
                </c:pt>
                <c:pt idx="12">
                  <c:v>3964.3999998591839</c:v>
                </c:pt>
                <c:pt idx="13">
                  <c:v>4550.0666669336306</c:v>
                </c:pt>
                <c:pt idx="14">
                  <c:v>5218.3428571730319</c:v>
                </c:pt>
                <c:pt idx="15">
                  <c:v>5775.250000183878</c:v>
                </c:pt>
                <c:pt idx="16">
                  <c:v>6423.2500003263704</c:v>
                </c:pt>
                <c:pt idx="17">
                  <c:v>7375.7999994631391</c:v>
                </c:pt>
                <c:pt idx="18">
                  <c:v>11193.999999849126</c:v>
                </c:pt>
                <c:pt idx="19">
                  <c:v>16199.076923633997</c:v>
                </c:pt>
                <c:pt idx="20">
                  <c:v>18000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DD-4528-A2C3-FC92B6CCC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536968"/>
        <c:axId val="447537296"/>
      </c:scatterChart>
      <c:valAx>
        <c:axId val="447536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7296"/>
        <c:crosses val="autoZero"/>
        <c:crossBetween val="midCat"/>
      </c:valAx>
      <c:valAx>
        <c:axId val="4475372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6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791776027996496E-2"/>
          <c:y val="0.1111111111111111"/>
          <c:w val="0.89665266841644797"/>
          <c:h val="0.8277544473607465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>
                    <a:alpha val="99000"/>
                  </a:schemeClr>
                </a:solidFill>
              </a:ln>
              <a:effectLst/>
            </c:spPr>
          </c:marker>
          <c:errBars>
            <c:errDir val="y"/>
            <c:errBarType val="minus"/>
            <c:errValType val="percentage"/>
            <c:noEndCap val="1"/>
            <c:val val="100"/>
            <c:spPr>
              <a:noFill/>
              <a:ln w="19050" cap="flat" cmpd="sng" algn="ctr">
                <a:solidFill>
                  <a:schemeClr val="tx1"/>
                </a:solidFill>
                <a:round/>
              </a:ln>
              <a:effectLst/>
            </c:spPr>
          </c:errBars>
          <c:xVal>
            <c:numRef>
              <c:f>Sheet3!$Q$2:$Q$41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</c:v>
                </c:pt>
                <c:pt idx="6">
                  <c:v>0.15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0.4</c:v>
                </c:pt>
                <c:pt idx="16">
                  <c:v>0.4</c:v>
                </c:pt>
                <c:pt idx="17">
                  <c:v>0.45</c:v>
                </c:pt>
                <c:pt idx="18">
                  <c:v>0.45</c:v>
                </c:pt>
                <c:pt idx="19">
                  <c:v>0.5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0.6</c:v>
                </c:pt>
                <c:pt idx="24">
                  <c:v>0.6</c:v>
                </c:pt>
                <c:pt idx="25">
                  <c:v>0.65</c:v>
                </c:pt>
                <c:pt idx="26">
                  <c:v>0.65</c:v>
                </c:pt>
                <c:pt idx="27">
                  <c:v>0.7</c:v>
                </c:pt>
                <c:pt idx="28">
                  <c:v>0.7</c:v>
                </c:pt>
                <c:pt idx="29">
                  <c:v>0.75</c:v>
                </c:pt>
                <c:pt idx="30">
                  <c:v>0.75</c:v>
                </c:pt>
                <c:pt idx="31">
                  <c:v>0.8</c:v>
                </c:pt>
                <c:pt idx="32">
                  <c:v>0.8</c:v>
                </c:pt>
                <c:pt idx="33">
                  <c:v>0.85</c:v>
                </c:pt>
                <c:pt idx="34">
                  <c:v>0.85</c:v>
                </c:pt>
                <c:pt idx="35">
                  <c:v>0.9</c:v>
                </c:pt>
                <c:pt idx="36">
                  <c:v>0.9</c:v>
                </c:pt>
                <c:pt idx="37">
                  <c:v>0.95</c:v>
                </c:pt>
                <c:pt idx="38">
                  <c:v>0.95</c:v>
                </c:pt>
                <c:pt idx="39">
                  <c:v>1</c:v>
                </c:pt>
              </c:numCache>
            </c:numRef>
          </c:xVal>
          <c:yVal>
            <c:numRef>
              <c:f>Sheet3!$R$2:$R$41</c:f>
              <c:numCache>
                <c:formatCode>General</c:formatCode>
                <c:ptCount val="40"/>
                <c:pt idx="0">
                  <c:v>-6.5752168014592341E-5</c:v>
                </c:pt>
                <c:pt idx="1">
                  <c:v>-6.5752168014592341E-5</c:v>
                </c:pt>
                <c:pt idx="2">
                  <c:v>1.8013623262601117E-3</c:v>
                </c:pt>
                <c:pt idx="3">
                  <c:v>1.8013623262601117E-3</c:v>
                </c:pt>
                <c:pt idx="4">
                  <c:v>6.7686333569841666E-3</c:v>
                </c:pt>
                <c:pt idx="5">
                  <c:v>6.7686333569841666E-3</c:v>
                </c:pt>
                <c:pt idx="6">
                  <c:v>1.2305680869266136E-2</c:v>
                </c:pt>
                <c:pt idx="7">
                  <c:v>1.2305680869266136E-2</c:v>
                </c:pt>
                <c:pt idx="8">
                  <c:v>1.5790968276679623E-2</c:v>
                </c:pt>
                <c:pt idx="9">
                  <c:v>1.5790968276679623E-2</c:v>
                </c:pt>
                <c:pt idx="10">
                  <c:v>1.867443479928271E-2</c:v>
                </c:pt>
                <c:pt idx="11">
                  <c:v>1.867443479928271E-2</c:v>
                </c:pt>
                <c:pt idx="12">
                  <c:v>2.1100150522455407E-2</c:v>
                </c:pt>
                <c:pt idx="13">
                  <c:v>2.1100150522455407E-2</c:v>
                </c:pt>
                <c:pt idx="14">
                  <c:v>2.2461318188945242E-2</c:v>
                </c:pt>
                <c:pt idx="15">
                  <c:v>2.2461318188945242E-2</c:v>
                </c:pt>
                <c:pt idx="16">
                  <c:v>2.3601407012687044E-2</c:v>
                </c:pt>
                <c:pt idx="17">
                  <c:v>2.3601407012687044E-2</c:v>
                </c:pt>
                <c:pt idx="18">
                  <c:v>2.4156340607255897E-2</c:v>
                </c:pt>
                <c:pt idx="19">
                  <c:v>2.4156340607255897E-2</c:v>
                </c:pt>
                <c:pt idx="20">
                  <c:v>2.4310117960237566E-2</c:v>
                </c:pt>
                <c:pt idx="21">
                  <c:v>2.4310117960237566E-2</c:v>
                </c:pt>
                <c:pt idx="22">
                  <c:v>2.423690295832933E-2</c:v>
                </c:pt>
                <c:pt idx="23">
                  <c:v>2.423690295832933E-2</c:v>
                </c:pt>
                <c:pt idx="24">
                  <c:v>2.2980756859384194E-2</c:v>
                </c:pt>
                <c:pt idx="25">
                  <c:v>2.2980756859384194E-2</c:v>
                </c:pt>
                <c:pt idx="26">
                  <c:v>1.451935361233196E-2</c:v>
                </c:pt>
                <c:pt idx="27">
                  <c:v>1.451935361233196E-2</c:v>
                </c:pt>
                <c:pt idx="28">
                  <c:v>6.0884602058370787E-3</c:v>
                </c:pt>
                <c:pt idx="29">
                  <c:v>6.0884602058370787E-3</c:v>
                </c:pt>
                <c:pt idx="30">
                  <c:v>4.0107310079944315E-3</c:v>
                </c:pt>
                <c:pt idx="31">
                  <c:v>4.0107310079944315E-3</c:v>
                </c:pt>
                <c:pt idx="32">
                  <c:v>1.5826306462542981E-3</c:v>
                </c:pt>
                <c:pt idx="33">
                  <c:v>1.5826306462542981E-3</c:v>
                </c:pt>
                <c:pt idx="34">
                  <c:v>-6.1019982843225802E-3</c:v>
                </c:pt>
                <c:pt idx="35">
                  <c:v>-6.1019982843225802E-3</c:v>
                </c:pt>
                <c:pt idx="36">
                  <c:v>-1.8548453526105672E-2</c:v>
                </c:pt>
                <c:pt idx="37">
                  <c:v>-1.8548453526105672E-2</c:v>
                </c:pt>
                <c:pt idx="38">
                  <c:v>-1.2368142331577382E-2</c:v>
                </c:pt>
                <c:pt idx="39">
                  <c:v>-1.2368142331577382E-2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E1-4C99-AE62-0644D20B189F}"/>
            </c:ext>
          </c:extLst>
        </c:ser>
        <c:ser>
          <c:idx val="1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Sheet3!$Q$2:$Q$41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</c:v>
                </c:pt>
                <c:pt idx="6">
                  <c:v>0.15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0.4</c:v>
                </c:pt>
                <c:pt idx="16">
                  <c:v>0.4</c:v>
                </c:pt>
                <c:pt idx="17">
                  <c:v>0.45</c:v>
                </c:pt>
                <c:pt idx="18">
                  <c:v>0.45</c:v>
                </c:pt>
                <c:pt idx="19">
                  <c:v>0.5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0.6</c:v>
                </c:pt>
                <c:pt idx="24">
                  <c:v>0.6</c:v>
                </c:pt>
                <c:pt idx="25">
                  <c:v>0.65</c:v>
                </c:pt>
                <c:pt idx="26">
                  <c:v>0.65</c:v>
                </c:pt>
                <c:pt idx="27">
                  <c:v>0.7</c:v>
                </c:pt>
                <c:pt idx="28">
                  <c:v>0.7</c:v>
                </c:pt>
                <c:pt idx="29">
                  <c:v>0.75</c:v>
                </c:pt>
                <c:pt idx="30">
                  <c:v>0.75</c:v>
                </c:pt>
                <c:pt idx="31">
                  <c:v>0.8</c:v>
                </c:pt>
                <c:pt idx="32">
                  <c:v>0.8</c:v>
                </c:pt>
                <c:pt idx="33">
                  <c:v>0.85</c:v>
                </c:pt>
                <c:pt idx="34">
                  <c:v>0.85</c:v>
                </c:pt>
                <c:pt idx="35">
                  <c:v>0.9</c:v>
                </c:pt>
                <c:pt idx="36">
                  <c:v>0.9</c:v>
                </c:pt>
                <c:pt idx="37">
                  <c:v>0.95</c:v>
                </c:pt>
                <c:pt idx="38">
                  <c:v>0.95</c:v>
                </c:pt>
                <c:pt idx="39">
                  <c:v>1</c:v>
                </c:pt>
              </c:numCache>
            </c:numRef>
          </c:xVal>
          <c:yVal>
            <c:numRef>
              <c:f>Sheet3!$S$2:$S$41</c:f>
              <c:numCache>
                <c:formatCode>General</c:formatCode>
                <c:ptCount val="40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5.0000000000000001E-3</c:v>
                </c:pt>
                <c:pt idx="16">
                  <c:v>5.0000000000000001E-3</c:v>
                </c:pt>
                <c:pt idx="17">
                  <c:v>5.0000000000000001E-3</c:v>
                </c:pt>
                <c:pt idx="18">
                  <c:v>5.0000000000000001E-3</c:v>
                </c:pt>
                <c:pt idx="19">
                  <c:v>5.0000000000000001E-3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  <c:pt idx="37">
                  <c:v>5.0000000000000001E-3</c:v>
                </c:pt>
                <c:pt idx="38">
                  <c:v>5.0000000000000001E-3</c:v>
                </c:pt>
                <c:pt idx="39">
                  <c:v>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E1-4C99-AE62-0644D20B189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Sheet3!$Q$2:$Q$41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</c:v>
                </c:pt>
                <c:pt idx="6">
                  <c:v>0.15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0.4</c:v>
                </c:pt>
                <c:pt idx="16">
                  <c:v>0.4</c:v>
                </c:pt>
                <c:pt idx="17">
                  <c:v>0.45</c:v>
                </c:pt>
                <c:pt idx="18">
                  <c:v>0.45</c:v>
                </c:pt>
                <c:pt idx="19">
                  <c:v>0.5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0.6</c:v>
                </c:pt>
                <c:pt idx="24">
                  <c:v>0.6</c:v>
                </c:pt>
                <c:pt idx="25">
                  <c:v>0.65</c:v>
                </c:pt>
                <c:pt idx="26">
                  <c:v>0.65</c:v>
                </c:pt>
                <c:pt idx="27">
                  <c:v>0.7</c:v>
                </c:pt>
                <c:pt idx="28">
                  <c:v>0.7</c:v>
                </c:pt>
                <c:pt idx="29">
                  <c:v>0.75</c:v>
                </c:pt>
                <c:pt idx="30">
                  <c:v>0.75</c:v>
                </c:pt>
                <c:pt idx="31">
                  <c:v>0.8</c:v>
                </c:pt>
                <c:pt idx="32">
                  <c:v>0.8</c:v>
                </c:pt>
                <c:pt idx="33">
                  <c:v>0.85</c:v>
                </c:pt>
                <c:pt idx="34">
                  <c:v>0.85</c:v>
                </c:pt>
                <c:pt idx="35">
                  <c:v>0.9</c:v>
                </c:pt>
                <c:pt idx="36">
                  <c:v>0.9</c:v>
                </c:pt>
                <c:pt idx="37">
                  <c:v>0.95</c:v>
                </c:pt>
                <c:pt idx="38">
                  <c:v>0.95</c:v>
                </c:pt>
                <c:pt idx="39">
                  <c:v>1</c:v>
                </c:pt>
              </c:numCache>
            </c:numRef>
          </c:xVal>
          <c:yVal>
            <c:numRef>
              <c:f>Sheet3!$T$2:$T$41</c:f>
              <c:numCache>
                <c:formatCode>General</c:formatCode>
                <c:ptCount val="40"/>
                <c:pt idx="0">
                  <c:v>-5.0000000000000001E-3</c:v>
                </c:pt>
                <c:pt idx="1">
                  <c:v>-5.0000000000000001E-3</c:v>
                </c:pt>
                <c:pt idx="2">
                  <c:v>-5.0000000000000001E-3</c:v>
                </c:pt>
                <c:pt idx="3">
                  <c:v>-5.0000000000000001E-3</c:v>
                </c:pt>
                <c:pt idx="4">
                  <c:v>-5.0000000000000001E-3</c:v>
                </c:pt>
                <c:pt idx="5">
                  <c:v>-5.0000000000000001E-3</c:v>
                </c:pt>
                <c:pt idx="6">
                  <c:v>-5.0000000000000001E-3</c:v>
                </c:pt>
                <c:pt idx="7">
                  <c:v>-5.0000000000000001E-3</c:v>
                </c:pt>
                <c:pt idx="8">
                  <c:v>-5.0000000000000001E-3</c:v>
                </c:pt>
                <c:pt idx="9">
                  <c:v>-5.0000000000000001E-3</c:v>
                </c:pt>
                <c:pt idx="10">
                  <c:v>-5.0000000000000001E-3</c:v>
                </c:pt>
                <c:pt idx="11">
                  <c:v>-5.0000000000000001E-3</c:v>
                </c:pt>
                <c:pt idx="12">
                  <c:v>-5.0000000000000001E-3</c:v>
                </c:pt>
                <c:pt idx="13">
                  <c:v>-5.0000000000000001E-3</c:v>
                </c:pt>
                <c:pt idx="14">
                  <c:v>-5.0000000000000001E-3</c:v>
                </c:pt>
                <c:pt idx="15">
                  <c:v>-5.0000000000000001E-3</c:v>
                </c:pt>
                <c:pt idx="16">
                  <c:v>-5.0000000000000001E-3</c:v>
                </c:pt>
                <c:pt idx="17">
                  <c:v>-5.0000000000000001E-3</c:v>
                </c:pt>
                <c:pt idx="18">
                  <c:v>-5.0000000000000001E-3</c:v>
                </c:pt>
                <c:pt idx="19">
                  <c:v>-5.0000000000000001E-3</c:v>
                </c:pt>
                <c:pt idx="20">
                  <c:v>-5.0000000000000001E-3</c:v>
                </c:pt>
                <c:pt idx="21">
                  <c:v>-5.0000000000000001E-3</c:v>
                </c:pt>
                <c:pt idx="22">
                  <c:v>-5.0000000000000001E-3</c:v>
                </c:pt>
                <c:pt idx="23">
                  <c:v>-5.0000000000000001E-3</c:v>
                </c:pt>
                <c:pt idx="24">
                  <c:v>-5.0000000000000001E-3</c:v>
                </c:pt>
                <c:pt idx="25">
                  <c:v>-5.0000000000000001E-3</c:v>
                </c:pt>
                <c:pt idx="26">
                  <c:v>-5.0000000000000001E-3</c:v>
                </c:pt>
                <c:pt idx="27">
                  <c:v>-5.0000000000000001E-3</c:v>
                </c:pt>
                <c:pt idx="28">
                  <c:v>-5.0000000000000001E-3</c:v>
                </c:pt>
                <c:pt idx="29">
                  <c:v>-5.0000000000000001E-3</c:v>
                </c:pt>
                <c:pt idx="30">
                  <c:v>-5.0000000000000001E-3</c:v>
                </c:pt>
                <c:pt idx="31">
                  <c:v>-5.0000000000000001E-3</c:v>
                </c:pt>
                <c:pt idx="32">
                  <c:v>-5.0000000000000001E-3</c:v>
                </c:pt>
                <c:pt idx="33">
                  <c:v>-5.0000000000000001E-3</c:v>
                </c:pt>
                <c:pt idx="34">
                  <c:v>-5.0000000000000001E-3</c:v>
                </c:pt>
                <c:pt idx="35">
                  <c:v>-5.0000000000000001E-3</c:v>
                </c:pt>
                <c:pt idx="36">
                  <c:v>-5.0000000000000001E-3</c:v>
                </c:pt>
                <c:pt idx="37">
                  <c:v>-5.0000000000000001E-3</c:v>
                </c:pt>
                <c:pt idx="38">
                  <c:v>-5.0000000000000001E-3</c:v>
                </c:pt>
                <c:pt idx="39">
                  <c:v>-5.0000000000000001E-3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E1-4C99-AE62-0644D20B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16248"/>
        <c:axId val="286146568"/>
      </c:scatterChart>
      <c:valAx>
        <c:axId val="253616248"/>
        <c:scaling>
          <c:orientation val="minMax"/>
          <c:max val="1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146568"/>
        <c:crosses val="autoZero"/>
        <c:crossBetween val="midCat"/>
      </c:valAx>
      <c:valAx>
        <c:axId val="286146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616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Discharge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Sheet1!$S$2:$S$42</c:f>
              <c:numCache>
                <c:formatCode>General</c:formatCode>
                <c:ptCount val="41"/>
                <c:pt idx="0">
                  <c:v>42331.177083333336</c:v>
                </c:pt>
                <c:pt idx="1">
                  <c:v>42331.177083333336</c:v>
                </c:pt>
                <c:pt idx="2">
                  <c:v>42331.1875</c:v>
                </c:pt>
                <c:pt idx="3">
                  <c:v>42331.197916666664</c:v>
                </c:pt>
                <c:pt idx="4">
                  <c:v>42331.208333333336</c:v>
                </c:pt>
                <c:pt idx="5">
                  <c:v>42331.215277777781</c:v>
                </c:pt>
                <c:pt idx="6">
                  <c:v>42331.21875</c:v>
                </c:pt>
                <c:pt idx="7">
                  <c:v>42331.222222222219</c:v>
                </c:pt>
                <c:pt idx="8">
                  <c:v>42331.225694444445</c:v>
                </c:pt>
                <c:pt idx="9">
                  <c:v>42331.229166666664</c:v>
                </c:pt>
                <c:pt idx="10">
                  <c:v>42331.232638888891</c:v>
                </c:pt>
                <c:pt idx="11">
                  <c:v>42331.236111111109</c:v>
                </c:pt>
                <c:pt idx="12">
                  <c:v>42331.239583333336</c:v>
                </c:pt>
                <c:pt idx="13">
                  <c:v>42331.243055555555</c:v>
                </c:pt>
                <c:pt idx="14">
                  <c:v>42331.246527777781</c:v>
                </c:pt>
                <c:pt idx="15">
                  <c:v>42331.25</c:v>
                </c:pt>
                <c:pt idx="16">
                  <c:v>42331.253472222219</c:v>
                </c:pt>
                <c:pt idx="17">
                  <c:v>42331.256944444445</c:v>
                </c:pt>
                <c:pt idx="18">
                  <c:v>42331.260416666664</c:v>
                </c:pt>
                <c:pt idx="19">
                  <c:v>42331.263888888891</c:v>
                </c:pt>
                <c:pt idx="20">
                  <c:v>42331.267361111109</c:v>
                </c:pt>
                <c:pt idx="21">
                  <c:v>42331.270833333336</c:v>
                </c:pt>
                <c:pt idx="22">
                  <c:v>42331.274305555555</c:v>
                </c:pt>
                <c:pt idx="23">
                  <c:v>42331.277777777781</c:v>
                </c:pt>
                <c:pt idx="24">
                  <c:v>42331.28125</c:v>
                </c:pt>
                <c:pt idx="25">
                  <c:v>42331.284722222219</c:v>
                </c:pt>
                <c:pt idx="26">
                  <c:v>42331.284722222219</c:v>
                </c:pt>
                <c:pt idx="27">
                  <c:v>42331.288194444445</c:v>
                </c:pt>
                <c:pt idx="28">
                  <c:v>42331.291666666664</c:v>
                </c:pt>
                <c:pt idx="29">
                  <c:v>42331.295138888891</c:v>
                </c:pt>
                <c:pt idx="30">
                  <c:v>42331.298611111109</c:v>
                </c:pt>
                <c:pt idx="31">
                  <c:v>42331.302083333336</c:v>
                </c:pt>
                <c:pt idx="32">
                  <c:v>42331.305555555555</c:v>
                </c:pt>
                <c:pt idx="33">
                  <c:v>42331.309027777781</c:v>
                </c:pt>
                <c:pt idx="34">
                  <c:v>42331.3125</c:v>
                </c:pt>
                <c:pt idx="35">
                  <c:v>42331.315972222219</c:v>
                </c:pt>
                <c:pt idx="36">
                  <c:v>42331.319444444445</c:v>
                </c:pt>
                <c:pt idx="37">
                  <c:v>42331.322916666664</c:v>
                </c:pt>
                <c:pt idx="38">
                  <c:v>42331.326388888891</c:v>
                </c:pt>
                <c:pt idx="39">
                  <c:v>42331.329861111109</c:v>
                </c:pt>
                <c:pt idx="40">
                  <c:v>42331.333333333336</c:v>
                </c:pt>
              </c:numCache>
            </c:numRef>
          </c:xVal>
          <c:yVal>
            <c:numRef>
              <c:f>Sheet1!$T$2:$T$42</c:f>
              <c:numCache>
                <c:formatCode>General</c:formatCode>
                <c:ptCount val="41"/>
                <c:pt idx="0">
                  <c:v>4.1908932956160001</c:v>
                </c:pt>
                <c:pt idx="1">
                  <c:v>4.1908932956160001</c:v>
                </c:pt>
                <c:pt idx="2">
                  <c:v>4.2192101422080004</c:v>
                </c:pt>
                <c:pt idx="3">
                  <c:v>4.445744914944</c:v>
                </c:pt>
                <c:pt idx="4">
                  <c:v>4.8988144604159993</c:v>
                </c:pt>
                <c:pt idx="5">
                  <c:v>5.9182209377280008</c:v>
                </c:pt>
                <c:pt idx="6">
                  <c:v>8.1269349719039994</c:v>
                </c:pt>
                <c:pt idx="7">
                  <c:v>14.384958068736001</c:v>
                </c:pt>
                <c:pt idx="8">
                  <c:v>22.880012046335999</c:v>
                </c:pt>
                <c:pt idx="9">
                  <c:v>31.714868183040004</c:v>
                </c:pt>
                <c:pt idx="10">
                  <c:v>39.643585228799999</c:v>
                </c:pt>
                <c:pt idx="11">
                  <c:v>45.3069545472</c:v>
                </c:pt>
                <c:pt idx="12">
                  <c:v>47.855470740480001</c:v>
                </c:pt>
                <c:pt idx="13">
                  <c:v>48.704976138240006</c:v>
                </c:pt>
                <c:pt idx="14">
                  <c:v>47.855470740480001</c:v>
                </c:pt>
                <c:pt idx="15">
                  <c:v>47.005965342720003</c:v>
                </c:pt>
                <c:pt idx="16">
                  <c:v>47.855470740480001</c:v>
                </c:pt>
                <c:pt idx="17">
                  <c:v>48.138639206400001</c:v>
                </c:pt>
                <c:pt idx="18">
                  <c:v>48.704976138240006</c:v>
                </c:pt>
                <c:pt idx="19">
                  <c:v>47.855470740480001</c:v>
                </c:pt>
                <c:pt idx="20">
                  <c:v>49.554481535999997</c:v>
                </c:pt>
                <c:pt idx="21">
                  <c:v>49.554481535999997</c:v>
                </c:pt>
                <c:pt idx="22">
                  <c:v>51.53666079744</c:v>
                </c:pt>
                <c:pt idx="23">
                  <c:v>60.598051706880007</c:v>
                </c:pt>
                <c:pt idx="24">
                  <c:v>65.695084093440002</c:v>
                </c:pt>
                <c:pt idx="25">
                  <c:v>69.376274150400008</c:v>
                </c:pt>
                <c:pt idx="26">
                  <c:v>69.376274150400008</c:v>
                </c:pt>
                <c:pt idx="27">
                  <c:v>67.960431820800011</c:v>
                </c:pt>
                <c:pt idx="28">
                  <c:v>64.279241763840005</c:v>
                </c:pt>
                <c:pt idx="29">
                  <c:v>62.580230968320002</c:v>
                </c:pt>
                <c:pt idx="30">
                  <c:v>63.712904832</c:v>
                </c:pt>
                <c:pt idx="31">
                  <c:v>63.712904832</c:v>
                </c:pt>
                <c:pt idx="32">
                  <c:v>62.580230968320002</c:v>
                </c:pt>
                <c:pt idx="33">
                  <c:v>61.447557104639998</c:v>
                </c:pt>
                <c:pt idx="34">
                  <c:v>60.598051706880007</c:v>
                </c:pt>
                <c:pt idx="35">
                  <c:v>59.465377843200002</c:v>
                </c:pt>
                <c:pt idx="36">
                  <c:v>60.031714775040001</c:v>
                </c:pt>
                <c:pt idx="37">
                  <c:v>60.31488324096</c:v>
                </c:pt>
                <c:pt idx="38">
                  <c:v>59.182209377280003</c:v>
                </c:pt>
                <c:pt idx="39">
                  <c:v>57.48319858176</c:v>
                </c:pt>
                <c:pt idx="40">
                  <c:v>55.217850854399998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3-4A8E-9FC6-DC721D93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536968"/>
        <c:axId val="447537296"/>
      </c:scatterChart>
      <c:scatterChart>
        <c:scatterStyle val="lineMarker"/>
        <c:varyColors val="0"/>
        <c:ser>
          <c:idx val="1"/>
          <c:order val="1"/>
          <c:tx>
            <c:v>Concentration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Sheet1!$S$2:$S$42</c:f>
              <c:numCache>
                <c:formatCode>General</c:formatCode>
                <c:ptCount val="41"/>
                <c:pt idx="0">
                  <c:v>42331.177083333336</c:v>
                </c:pt>
                <c:pt idx="1">
                  <c:v>42331.177083333336</c:v>
                </c:pt>
                <c:pt idx="2">
                  <c:v>42331.1875</c:v>
                </c:pt>
                <c:pt idx="3">
                  <c:v>42331.197916666664</c:v>
                </c:pt>
                <c:pt idx="4">
                  <c:v>42331.208333333336</c:v>
                </c:pt>
                <c:pt idx="5">
                  <c:v>42331.215277777781</c:v>
                </c:pt>
                <c:pt idx="6">
                  <c:v>42331.21875</c:v>
                </c:pt>
                <c:pt idx="7">
                  <c:v>42331.222222222219</c:v>
                </c:pt>
                <c:pt idx="8">
                  <c:v>42331.225694444445</c:v>
                </c:pt>
                <c:pt idx="9">
                  <c:v>42331.229166666664</c:v>
                </c:pt>
                <c:pt idx="10">
                  <c:v>42331.232638888891</c:v>
                </c:pt>
                <c:pt idx="11">
                  <c:v>42331.236111111109</c:v>
                </c:pt>
                <c:pt idx="12">
                  <c:v>42331.239583333336</c:v>
                </c:pt>
                <c:pt idx="13">
                  <c:v>42331.243055555555</c:v>
                </c:pt>
                <c:pt idx="14">
                  <c:v>42331.246527777781</c:v>
                </c:pt>
                <c:pt idx="15">
                  <c:v>42331.25</c:v>
                </c:pt>
                <c:pt idx="16">
                  <c:v>42331.253472222219</c:v>
                </c:pt>
                <c:pt idx="17">
                  <c:v>42331.256944444445</c:v>
                </c:pt>
                <c:pt idx="18">
                  <c:v>42331.260416666664</c:v>
                </c:pt>
                <c:pt idx="19">
                  <c:v>42331.263888888891</c:v>
                </c:pt>
                <c:pt idx="20">
                  <c:v>42331.267361111109</c:v>
                </c:pt>
                <c:pt idx="21">
                  <c:v>42331.270833333336</c:v>
                </c:pt>
                <c:pt idx="22">
                  <c:v>42331.274305555555</c:v>
                </c:pt>
                <c:pt idx="23">
                  <c:v>42331.277777777781</c:v>
                </c:pt>
                <c:pt idx="24">
                  <c:v>42331.28125</c:v>
                </c:pt>
                <c:pt idx="25">
                  <c:v>42331.284722222219</c:v>
                </c:pt>
                <c:pt idx="26">
                  <c:v>42331.284722222219</c:v>
                </c:pt>
                <c:pt idx="27">
                  <c:v>42331.288194444445</c:v>
                </c:pt>
                <c:pt idx="28">
                  <c:v>42331.291666666664</c:v>
                </c:pt>
                <c:pt idx="29">
                  <c:v>42331.295138888891</c:v>
                </c:pt>
                <c:pt idx="30">
                  <c:v>42331.298611111109</c:v>
                </c:pt>
                <c:pt idx="31">
                  <c:v>42331.302083333336</c:v>
                </c:pt>
                <c:pt idx="32">
                  <c:v>42331.305555555555</c:v>
                </c:pt>
                <c:pt idx="33">
                  <c:v>42331.309027777781</c:v>
                </c:pt>
                <c:pt idx="34">
                  <c:v>42331.3125</c:v>
                </c:pt>
                <c:pt idx="35">
                  <c:v>42331.315972222219</c:v>
                </c:pt>
                <c:pt idx="36">
                  <c:v>42331.319444444445</c:v>
                </c:pt>
                <c:pt idx="37">
                  <c:v>42331.322916666664</c:v>
                </c:pt>
                <c:pt idx="38">
                  <c:v>42331.326388888891</c:v>
                </c:pt>
                <c:pt idx="39">
                  <c:v>42331.329861111109</c:v>
                </c:pt>
                <c:pt idx="40">
                  <c:v>42331.333333333336</c:v>
                </c:pt>
              </c:numCache>
            </c:numRef>
          </c:xVal>
          <c:yVal>
            <c:numRef>
              <c:f>Sheet1!$U$2:$U$42</c:f>
              <c:numCache>
                <c:formatCode>General</c:formatCode>
                <c:ptCount val="41"/>
                <c:pt idx="0">
                  <c:v>39.200000000000003</c:v>
                </c:pt>
                <c:pt idx="1">
                  <c:v>39.200000000000003</c:v>
                </c:pt>
                <c:pt idx="2">
                  <c:v>50.1</c:v>
                </c:pt>
                <c:pt idx="3">
                  <c:v>78</c:v>
                </c:pt>
                <c:pt idx="4">
                  <c:v>115</c:v>
                </c:pt>
                <c:pt idx="5">
                  <c:v>228</c:v>
                </c:pt>
                <c:pt idx="6">
                  <c:v>468</c:v>
                </c:pt>
                <c:pt idx="7">
                  <c:v>4710</c:v>
                </c:pt>
                <c:pt idx="8">
                  <c:v>9330</c:v>
                </c:pt>
                <c:pt idx="9">
                  <c:v>11300</c:v>
                </c:pt>
                <c:pt idx="10">
                  <c:v>12100</c:v>
                </c:pt>
                <c:pt idx="11">
                  <c:v>12900</c:v>
                </c:pt>
                <c:pt idx="12">
                  <c:v>11900</c:v>
                </c:pt>
                <c:pt idx="13">
                  <c:v>10900</c:v>
                </c:pt>
                <c:pt idx="14">
                  <c:v>9830</c:v>
                </c:pt>
                <c:pt idx="15">
                  <c:v>9040</c:v>
                </c:pt>
                <c:pt idx="16">
                  <c:v>8830</c:v>
                </c:pt>
                <c:pt idx="17">
                  <c:v>8630</c:v>
                </c:pt>
                <c:pt idx="18">
                  <c:v>8430</c:v>
                </c:pt>
                <c:pt idx="19">
                  <c:v>8220</c:v>
                </c:pt>
                <c:pt idx="20">
                  <c:v>8020</c:v>
                </c:pt>
                <c:pt idx="21">
                  <c:v>7820</c:v>
                </c:pt>
                <c:pt idx="22">
                  <c:v>7610</c:v>
                </c:pt>
                <c:pt idx="23">
                  <c:v>7410</c:v>
                </c:pt>
                <c:pt idx="24">
                  <c:v>5930</c:v>
                </c:pt>
                <c:pt idx="25">
                  <c:v>18000</c:v>
                </c:pt>
                <c:pt idx="26">
                  <c:v>18000</c:v>
                </c:pt>
                <c:pt idx="27">
                  <c:v>16800</c:v>
                </c:pt>
                <c:pt idx="28">
                  <c:v>15600</c:v>
                </c:pt>
                <c:pt idx="29">
                  <c:v>14500</c:v>
                </c:pt>
                <c:pt idx="30">
                  <c:v>13300</c:v>
                </c:pt>
                <c:pt idx="31">
                  <c:v>12100</c:v>
                </c:pt>
                <c:pt idx="32">
                  <c:v>10900</c:v>
                </c:pt>
                <c:pt idx="33">
                  <c:v>9990</c:v>
                </c:pt>
                <c:pt idx="34">
                  <c:v>9430</c:v>
                </c:pt>
                <c:pt idx="35">
                  <c:v>8860</c:v>
                </c:pt>
                <c:pt idx="36">
                  <c:v>8300</c:v>
                </c:pt>
                <c:pt idx="37">
                  <c:v>7730</c:v>
                </c:pt>
                <c:pt idx="38">
                  <c:v>7170</c:v>
                </c:pt>
                <c:pt idx="39">
                  <c:v>6600</c:v>
                </c:pt>
                <c:pt idx="40">
                  <c:v>6250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A3-4A8E-9FC6-DC721D93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078584"/>
        <c:axId val="294762200"/>
      </c:scatterChart>
      <c:valAx>
        <c:axId val="447536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7296"/>
        <c:crosses val="autoZero"/>
        <c:crossBetween val="midCat"/>
      </c:valAx>
      <c:valAx>
        <c:axId val="447537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6968"/>
        <c:crosses val="autoZero"/>
        <c:crossBetween val="midCat"/>
      </c:valAx>
      <c:valAx>
        <c:axId val="2947622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78584"/>
        <c:crosses val="max"/>
        <c:crossBetween val="midCat"/>
      </c:valAx>
      <c:valAx>
        <c:axId val="376078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4762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v>Rising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errBars>
            <c:errDir val="x"/>
            <c:errBarType val="both"/>
            <c:errValType val="percentage"/>
            <c:noEndCap val="0"/>
            <c:val val="5"/>
          </c:errBars>
          <c:errBars>
            <c:errDir val="y"/>
            <c:errBarType val="both"/>
            <c:errValType val="percentage"/>
            <c:noEndCap val="0"/>
            <c:val val="5"/>
          </c:errBars>
          <c:xVal>
            <c:numRef>
              <c:f>Sheet1!$K$2:$K$22</c:f>
              <c:numCache>
                <c:formatCode>General</c:formatCode>
                <c:ptCount val="21"/>
                <c:pt idx="0">
                  <c:v>4.1908932956160001</c:v>
                </c:pt>
                <c:pt idx="1">
                  <c:v>7.4501623383552005</c:v>
                </c:pt>
                <c:pt idx="2">
                  <c:v>10.709431381094401</c:v>
                </c:pt>
                <c:pt idx="3">
                  <c:v>13.968700423833601</c:v>
                </c:pt>
                <c:pt idx="4">
                  <c:v>17.227969466572802</c:v>
                </c:pt>
                <c:pt idx="5">
                  <c:v>20.487238509312</c:v>
                </c:pt>
                <c:pt idx="6">
                  <c:v>23.746507552051199</c:v>
                </c:pt>
                <c:pt idx="7">
                  <c:v>27.005776594790397</c:v>
                </c:pt>
                <c:pt idx="8">
                  <c:v>30.265045637529596</c:v>
                </c:pt>
                <c:pt idx="9">
                  <c:v>33.524314680268795</c:v>
                </c:pt>
                <c:pt idx="10">
                  <c:v>36.783583723007993</c:v>
                </c:pt>
                <c:pt idx="11">
                  <c:v>40.042852765747192</c:v>
                </c:pt>
                <c:pt idx="12">
                  <c:v>43.30212180848639</c:v>
                </c:pt>
                <c:pt idx="13">
                  <c:v>46.561390851225589</c:v>
                </c:pt>
                <c:pt idx="14">
                  <c:v>49.820659893964788</c:v>
                </c:pt>
                <c:pt idx="15">
                  <c:v>53.079928936703986</c:v>
                </c:pt>
                <c:pt idx="16">
                  <c:v>56.339197979443185</c:v>
                </c:pt>
                <c:pt idx="17">
                  <c:v>59.598467022182383</c:v>
                </c:pt>
                <c:pt idx="18">
                  <c:v>62.857736064921582</c:v>
                </c:pt>
                <c:pt idx="19">
                  <c:v>66.117005107660788</c:v>
                </c:pt>
                <c:pt idx="20">
                  <c:v>69.376274150399993</c:v>
                </c:pt>
              </c:numCache>
            </c:numRef>
          </c:xVal>
          <c:yVal>
            <c:numRef>
              <c:f>Sheet1!$L$2:$L$22</c:f>
              <c:numCache>
                <c:formatCode>General</c:formatCode>
                <c:ptCount val="21"/>
                <c:pt idx="0">
                  <c:v>39.200000000000003</c:v>
                </c:pt>
                <c:pt idx="1">
                  <c:v>394.46153841769467</c:v>
                </c:pt>
                <c:pt idx="2">
                  <c:v>2218.5448003379115</c:v>
                </c:pt>
                <c:pt idx="3">
                  <c:v>4427.8398177817835</c:v>
                </c:pt>
                <c:pt idx="4">
                  <c:v>6256.1599956241434</c:v>
                </c:pt>
                <c:pt idx="5">
                  <c:v>8028.7000022750581</c:v>
                </c:pt>
                <c:pt idx="6">
                  <c:v>9523.211539509437</c:v>
                </c:pt>
                <c:pt idx="7">
                  <c:v>10249.964741901462</c:v>
                </c:pt>
                <c:pt idx="8">
                  <c:v>10976.717948421574</c:v>
                </c:pt>
                <c:pt idx="9">
                  <c:v>11482.571427870342</c:v>
                </c:pt>
                <c:pt idx="10">
                  <c:v>11811.428572200904</c:v>
                </c:pt>
                <c:pt idx="11">
                  <c:v>12156.399999238924</c:v>
                </c:pt>
                <c:pt idx="12">
                  <c:v>12616.800000254811</c:v>
                </c:pt>
                <c:pt idx="13">
                  <c:v>12407.777778539134</c:v>
                </c:pt>
                <c:pt idx="14">
                  <c:v>7791.7999999823978</c:v>
                </c:pt>
                <c:pt idx="15">
                  <c:v>7575.9374999744614</c:v>
                </c:pt>
                <c:pt idx="16">
                  <c:v>7504.0000000712462</c:v>
                </c:pt>
                <c:pt idx="17">
                  <c:v>7432.062500168031</c:v>
                </c:pt>
                <c:pt idx="18">
                  <c:v>6753.8666677417859</c:v>
                </c:pt>
                <c:pt idx="19">
                  <c:v>7313.4076920742245</c:v>
                </c:pt>
                <c:pt idx="20">
                  <c:v>18000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5E5-4422-A0BD-EFA611C912AF}"/>
            </c:ext>
          </c:extLst>
        </c:ser>
        <c:ser>
          <c:idx val="3"/>
          <c:order val="1"/>
          <c:tx>
            <c:v>Falling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percentage"/>
            <c:noEndCap val="0"/>
            <c:val val="5"/>
          </c:errBars>
          <c:errBars>
            <c:errDir val="y"/>
            <c:errBarType val="both"/>
            <c:errValType val="percentage"/>
            <c:noEndCap val="0"/>
            <c:val val="5"/>
          </c:errBars>
          <c:xVal>
            <c:numRef>
              <c:f>Sheet1!$N$2:$N$22</c:f>
              <c:numCache>
                <c:formatCode>General</c:formatCode>
                <c:ptCount val="21"/>
                <c:pt idx="0">
                  <c:v>4.1908932956160001</c:v>
                </c:pt>
                <c:pt idx="1">
                  <c:v>7.4501623383552005</c:v>
                </c:pt>
                <c:pt idx="2">
                  <c:v>10.709431381094401</c:v>
                </c:pt>
                <c:pt idx="3">
                  <c:v>13.968700423833601</c:v>
                </c:pt>
                <c:pt idx="4">
                  <c:v>17.227969466572802</c:v>
                </c:pt>
                <c:pt idx="5">
                  <c:v>20.487238509312</c:v>
                </c:pt>
                <c:pt idx="6">
                  <c:v>23.746507552051199</c:v>
                </c:pt>
                <c:pt idx="7">
                  <c:v>27.005776594790397</c:v>
                </c:pt>
                <c:pt idx="8">
                  <c:v>30.265045637529596</c:v>
                </c:pt>
                <c:pt idx="9">
                  <c:v>33.524314680268795</c:v>
                </c:pt>
                <c:pt idx="10">
                  <c:v>36.783583723007993</c:v>
                </c:pt>
                <c:pt idx="11">
                  <c:v>40.042852765747192</c:v>
                </c:pt>
                <c:pt idx="12">
                  <c:v>43.30212180848639</c:v>
                </c:pt>
                <c:pt idx="13">
                  <c:v>46.561390851225589</c:v>
                </c:pt>
                <c:pt idx="14">
                  <c:v>49.820659893964788</c:v>
                </c:pt>
                <c:pt idx="15">
                  <c:v>53.079928936703986</c:v>
                </c:pt>
                <c:pt idx="16">
                  <c:v>56.339197979443185</c:v>
                </c:pt>
                <c:pt idx="17">
                  <c:v>59.598467022182383</c:v>
                </c:pt>
                <c:pt idx="18">
                  <c:v>62.857736064921582</c:v>
                </c:pt>
                <c:pt idx="19">
                  <c:v>66.117005107660788</c:v>
                </c:pt>
                <c:pt idx="20">
                  <c:v>69.376274150399993</c:v>
                </c:pt>
              </c:numCache>
            </c:numRef>
          </c:xVal>
          <c:yVal>
            <c:numRef>
              <c:f>Sheet1!$O$2:$O$22</c:f>
              <c:numCache>
                <c:formatCode>General</c:formatCode>
                <c:ptCount val="21"/>
                <c:pt idx="0">
                  <c:v>101.74999999965075</c:v>
                </c:pt>
                <c:pt idx="1">
                  <c:v>379.14999998910355</c:v>
                </c:pt>
                <c:pt idx="2">
                  <c:v>939.6999999867985</c:v>
                </c:pt>
                <c:pt idx="3">
                  <c:v>843.88181820804971</c:v>
                </c:pt>
                <c:pt idx="4">
                  <c:v>999.32307692926668</c:v>
                </c:pt>
                <c:pt idx="5">
                  <c:v>1940.8000000184402</c:v>
                </c:pt>
                <c:pt idx="6">
                  <c:v>2194.8000000477768</c:v>
                </c:pt>
                <c:pt idx="7">
                  <c:v>2419.3529412144358</c:v>
                </c:pt>
                <c:pt idx="8">
                  <c:v>2670.3999999882653</c:v>
                </c:pt>
                <c:pt idx="9">
                  <c:v>2832.8833333648704</c:v>
                </c:pt>
                <c:pt idx="10">
                  <c:v>3106.4285715543001</c:v>
                </c:pt>
                <c:pt idx="11">
                  <c:v>3396.2333334761051</c:v>
                </c:pt>
                <c:pt idx="12">
                  <c:v>3964.3999998591839</c:v>
                </c:pt>
                <c:pt idx="13">
                  <c:v>4550.0666669336306</c:v>
                </c:pt>
                <c:pt idx="14">
                  <c:v>5218.3428571730319</c:v>
                </c:pt>
                <c:pt idx="15">
                  <c:v>5775.250000183878</c:v>
                </c:pt>
                <c:pt idx="16">
                  <c:v>6423.2500003263704</c:v>
                </c:pt>
                <c:pt idx="17">
                  <c:v>7375.7999994631391</c:v>
                </c:pt>
                <c:pt idx="18">
                  <c:v>11193.999999849126</c:v>
                </c:pt>
                <c:pt idx="19">
                  <c:v>16199.076923633997</c:v>
                </c:pt>
                <c:pt idx="20">
                  <c:v>18000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5E5-4422-A0BD-EFA611C912AF}"/>
            </c:ext>
          </c:extLst>
        </c:ser>
        <c:ser>
          <c:idx val="1"/>
          <c:order val="2"/>
          <c:tx>
            <c:v>Rising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</c:errBars>
          <c:xVal>
            <c:numRef>
              <c:f>Sheet3!$A$2:$A$22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0.39999999999999991</c:v>
                </c:pt>
                <c:pt idx="9">
                  <c:v>0.4499999999999999</c:v>
                </c:pt>
                <c:pt idx="10">
                  <c:v>0.49999999999999989</c:v>
                </c:pt>
                <c:pt idx="11">
                  <c:v>0.54999999999999982</c:v>
                </c:pt>
                <c:pt idx="12">
                  <c:v>0.59999999999999987</c:v>
                </c:pt>
                <c:pt idx="13">
                  <c:v>0.6499999999999998</c:v>
                </c:pt>
                <c:pt idx="14">
                  <c:v>0.69999999999999984</c:v>
                </c:pt>
                <c:pt idx="15">
                  <c:v>0.74999999999999978</c:v>
                </c:pt>
                <c:pt idx="16">
                  <c:v>0.79999999999999971</c:v>
                </c:pt>
                <c:pt idx="17">
                  <c:v>0.84999999999999976</c:v>
                </c:pt>
                <c:pt idx="18">
                  <c:v>0.89999999999999969</c:v>
                </c:pt>
                <c:pt idx="19">
                  <c:v>0.94999999999999984</c:v>
                </c:pt>
                <c:pt idx="20">
                  <c:v>1</c:v>
                </c:pt>
              </c:numCache>
            </c:numRef>
          </c:xVal>
          <c:yVal>
            <c:numRef>
              <c:f>Sheet3!$B$2:$B$22</c:f>
              <c:numCache>
                <c:formatCode>General</c:formatCode>
                <c:ptCount val="21"/>
                <c:pt idx="0">
                  <c:v>0</c:v>
                </c:pt>
                <c:pt idx="1">
                  <c:v>1.9779828204628674E-2</c:v>
                </c:pt>
                <c:pt idx="2">
                  <c:v>0.12133896042146852</c:v>
                </c:pt>
                <c:pt idx="3">
                  <c:v>0.2443454533084152</c:v>
                </c:pt>
                <c:pt idx="4">
                  <c:v>0.34614048347646786</c:v>
                </c:pt>
                <c:pt idx="5">
                  <c:v>0.44482985180365342</c:v>
                </c:pt>
                <c:pt idx="6">
                  <c:v>0.52803948262379385</c:v>
                </c:pt>
                <c:pt idx="7">
                  <c:v>0.56850278060562232</c:v>
                </c:pt>
                <c:pt idx="8">
                  <c:v>0.60896607881728948</c:v>
                </c:pt>
                <c:pt idx="9">
                  <c:v>0.63713038549899459</c:v>
                </c:pt>
                <c:pt idx="10">
                  <c:v>0.65544010134297492</c:v>
                </c:pt>
                <c:pt idx="11">
                  <c:v>0.67464700899953922</c:v>
                </c:pt>
                <c:pt idx="12">
                  <c:v>0.70028061112282358</c:v>
                </c:pt>
                <c:pt idx="13">
                  <c:v>0.68864292116938741</c:v>
                </c:pt>
                <c:pt idx="14">
                  <c:v>0.43164001603394048</c:v>
                </c:pt>
                <c:pt idx="15">
                  <c:v>0.41962148122435872</c:v>
                </c:pt>
                <c:pt idx="16">
                  <c:v>0.41561623090682187</c:v>
                </c:pt>
                <c:pt idx="17">
                  <c:v>0.41161098058928508</c:v>
                </c:pt>
                <c:pt idx="18">
                  <c:v>0.37385120193653881</c:v>
                </c:pt>
                <c:pt idx="19">
                  <c:v>0.40500465970748656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5E5-4422-A0BD-EFA611C912AF}"/>
            </c:ext>
          </c:extLst>
        </c:ser>
        <c:ser>
          <c:idx val="0"/>
          <c:order val="3"/>
          <c:tx>
            <c:v>Falling</c:v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</c:errBars>
          <c:xVal>
            <c:numRef>
              <c:f>Sheet3!$C$2:$C$22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0.39999999999999991</c:v>
                </c:pt>
                <c:pt idx="9">
                  <c:v>0.4499999999999999</c:v>
                </c:pt>
                <c:pt idx="10">
                  <c:v>0.49999999999999989</c:v>
                </c:pt>
                <c:pt idx="11">
                  <c:v>0.54999999999999982</c:v>
                </c:pt>
                <c:pt idx="12">
                  <c:v>0.59999999999999987</c:v>
                </c:pt>
                <c:pt idx="13">
                  <c:v>0.6499999999999998</c:v>
                </c:pt>
                <c:pt idx="14">
                  <c:v>0.69999999999999984</c:v>
                </c:pt>
                <c:pt idx="15">
                  <c:v>0.74999999999999978</c:v>
                </c:pt>
                <c:pt idx="16">
                  <c:v>0.79999999999999971</c:v>
                </c:pt>
                <c:pt idx="17">
                  <c:v>0.84999999999999976</c:v>
                </c:pt>
                <c:pt idx="18">
                  <c:v>0.89999999999999969</c:v>
                </c:pt>
                <c:pt idx="19">
                  <c:v>0.94999999999999984</c:v>
                </c:pt>
                <c:pt idx="20">
                  <c:v>1</c:v>
                </c:pt>
              </c:numCache>
            </c:numRef>
          </c:xVal>
          <c:yVal>
            <c:numRef>
              <c:f>Sheet3!$D$2:$D$22</c:f>
              <c:numCache>
                <c:formatCode>General</c:formatCode>
                <c:ptCount val="21"/>
                <c:pt idx="0">
                  <c:v>3.4825842946667606E-3</c:v>
                </c:pt>
                <c:pt idx="1">
                  <c:v>1.8927330630545608E-2</c:v>
                </c:pt>
                <c:pt idx="2">
                  <c:v>5.0136964945147126E-2</c:v>
                </c:pt>
                <c:pt idx="3">
                  <c:v>4.4802114505370014E-2</c:v>
                </c:pt>
                <c:pt idx="4">
                  <c:v>5.3456587508867462E-2</c:v>
                </c:pt>
                <c:pt idx="5">
                  <c:v>0.10587501670406887</c:v>
                </c:pt>
                <c:pt idx="6">
                  <c:v>0.1200169257520699</c:v>
                </c:pt>
                <c:pt idx="7">
                  <c:v>0.13251931657912988</c:v>
                </c:pt>
                <c:pt idx="8">
                  <c:v>0.14649681528597086</c:v>
                </c:pt>
                <c:pt idx="9">
                  <c:v>0.15554336852283143</c:v>
                </c:pt>
                <c:pt idx="10">
                  <c:v>0.17077349402890185</c:v>
                </c:pt>
                <c:pt idx="11">
                  <c:v>0.18690889790410814</c:v>
                </c:pt>
                <c:pt idx="12">
                  <c:v>0.2185426038850822</c:v>
                </c:pt>
                <c:pt idx="13">
                  <c:v>0.25115065403175979</c:v>
                </c:pt>
                <c:pt idx="14">
                  <c:v>0.28835813867829008</c:v>
                </c:pt>
                <c:pt idx="15">
                  <c:v>0.31936495034652568</c:v>
                </c:pt>
                <c:pt idx="16">
                  <c:v>0.35544352146487745</c:v>
                </c:pt>
                <c:pt idx="17">
                  <c:v>0.4084784641810576</c:v>
                </c:pt>
                <c:pt idx="18">
                  <c:v>0.62106364971766992</c:v>
                </c:pt>
                <c:pt idx="19">
                  <c:v>0.89973035297058013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5E5-4422-A0BD-EFA611C91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192840"/>
        <c:axId val="619135904"/>
      </c:scatterChart>
      <c:valAx>
        <c:axId val="619192840"/>
        <c:scaling>
          <c:orientation val="minMax"/>
          <c:max val="1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12700">
            <a:solidFill>
              <a:schemeClr val="tx1"/>
            </a:solidFill>
          </a:ln>
        </c:spPr>
        <c:crossAx val="619135904"/>
        <c:crosses val="autoZero"/>
        <c:crossBetween val="midCat"/>
        <c:majorUnit val="0.25"/>
      </c:valAx>
      <c:valAx>
        <c:axId val="619135904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12700">
            <a:solidFill>
              <a:schemeClr val="tx1"/>
            </a:solidFill>
          </a:ln>
        </c:spPr>
        <c:crossAx val="619192840"/>
        <c:crosses val="autoZero"/>
        <c:crossBetween val="midCat"/>
        <c:majorUnit val="0.25"/>
      </c:valAx>
      <c:spPr>
        <a:ln>
          <a:noFill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txPr>
        <a:bodyPr/>
        <a:lstStyle/>
        <a:p>
          <a:pPr>
            <a:defRPr b="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Rising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Sheet3!$A$2:$A$22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0.39999999999999991</c:v>
                </c:pt>
                <c:pt idx="9">
                  <c:v>0.4499999999999999</c:v>
                </c:pt>
                <c:pt idx="10">
                  <c:v>0.49999999999999989</c:v>
                </c:pt>
                <c:pt idx="11">
                  <c:v>0.54999999999999982</c:v>
                </c:pt>
                <c:pt idx="12">
                  <c:v>0.59999999999999987</c:v>
                </c:pt>
                <c:pt idx="13">
                  <c:v>0.6499999999999998</c:v>
                </c:pt>
                <c:pt idx="14">
                  <c:v>0.69999999999999984</c:v>
                </c:pt>
                <c:pt idx="15">
                  <c:v>0.74999999999999978</c:v>
                </c:pt>
                <c:pt idx="16">
                  <c:v>0.79999999999999971</c:v>
                </c:pt>
                <c:pt idx="17">
                  <c:v>0.84999999999999976</c:v>
                </c:pt>
                <c:pt idx="18">
                  <c:v>0.89999999999999969</c:v>
                </c:pt>
                <c:pt idx="19">
                  <c:v>0.94999999999999984</c:v>
                </c:pt>
                <c:pt idx="20">
                  <c:v>1</c:v>
                </c:pt>
              </c:numCache>
            </c:numRef>
          </c:xVal>
          <c:yVal>
            <c:numRef>
              <c:f>Sheet3!$B$2:$B$22</c:f>
              <c:numCache>
                <c:formatCode>General</c:formatCode>
                <c:ptCount val="21"/>
                <c:pt idx="0">
                  <c:v>0</c:v>
                </c:pt>
                <c:pt idx="1">
                  <c:v>1.9779828204628674E-2</c:v>
                </c:pt>
                <c:pt idx="2">
                  <c:v>0.12133896042146852</c:v>
                </c:pt>
                <c:pt idx="3">
                  <c:v>0.2443454533084152</c:v>
                </c:pt>
                <c:pt idx="4">
                  <c:v>0.34614048347646786</c:v>
                </c:pt>
                <c:pt idx="5">
                  <c:v>0.44482985180365342</c:v>
                </c:pt>
                <c:pt idx="6">
                  <c:v>0.52803948262379385</c:v>
                </c:pt>
                <c:pt idx="7">
                  <c:v>0.56850278060562232</c:v>
                </c:pt>
                <c:pt idx="8">
                  <c:v>0.60896607881728948</c:v>
                </c:pt>
                <c:pt idx="9">
                  <c:v>0.63713038549899459</c:v>
                </c:pt>
                <c:pt idx="10">
                  <c:v>0.65544010134297492</c:v>
                </c:pt>
                <c:pt idx="11">
                  <c:v>0.67464700899953922</c:v>
                </c:pt>
                <c:pt idx="12">
                  <c:v>0.70028061112282358</c:v>
                </c:pt>
                <c:pt idx="13">
                  <c:v>0.68864292116938741</c:v>
                </c:pt>
                <c:pt idx="14">
                  <c:v>0.43164001603394048</c:v>
                </c:pt>
                <c:pt idx="15">
                  <c:v>0.41962148122435872</c:v>
                </c:pt>
                <c:pt idx="16">
                  <c:v>0.41561623090682187</c:v>
                </c:pt>
                <c:pt idx="17">
                  <c:v>0.41161098058928508</c:v>
                </c:pt>
                <c:pt idx="18">
                  <c:v>0.37385120193653881</c:v>
                </c:pt>
                <c:pt idx="19">
                  <c:v>0.40500465970748656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E5-4DCC-B0A4-370F63631EFC}"/>
            </c:ext>
          </c:extLst>
        </c:ser>
        <c:ser>
          <c:idx val="0"/>
          <c:order val="1"/>
          <c:tx>
            <c:v>Falling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Sheet3!$C$2:$C$22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0.39999999999999991</c:v>
                </c:pt>
                <c:pt idx="9">
                  <c:v>0.4499999999999999</c:v>
                </c:pt>
                <c:pt idx="10">
                  <c:v>0.49999999999999989</c:v>
                </c:pt>
                <c:pt idx="11">
                  <c:v>0.54999999999999982</c:v>
                </c:pt>
                <c:pt idx="12">
                  <c:v>0.59999999999999987</c:v>
                </c:pt>
                <c:pt idx="13">
                  <c:v>0.6499999999999998</c:v>
                </c:pt>
                <c:pt idx="14">
                  <c:v>0.69999999999999984</c:v>
                </c:pt>
                <c:pt idx="15">
                  <c:v>0.74999999999999978</c:v>
                </c:pt>
                <c:pt idx="16">
                  <c:v>0.79999999999999971</c:v>
                </c:pt>
                <c:pt idx="17">
                  <c:v>0.84999999999999976</c:v>
                </c:pt>
                <c:pt idx="18">
                  <c:v>0.89999999999999969</c:v>
                </c:pt>
                <c:pt idx="19">
                  <c:v>0.94999999999999984</c:v>
                </c:pt>
                <c:pt idx="20">
                  <c:v>1</c:v>
                </c:pt>
              </c:numCache>
            </c:numRef>
          </c:xVal>
          <c:yVal>
            <c:numRef>
              <c:f>Sheet3!$D$2:$D$22</c:f>
              <c:numCache>
                <c:formatCode>General</c:formatCode>
                <c:ptCount val="21"/>
                <c:pt idx="0">
                  <c:v>3.4825842946667606E-3</c:v>
                </c:pt>
                <c:pt idx="1">
                  <c:v>1.8927330630545608E-2</c:v>
                </c:pt>
                <c:pt idx="2">
                  <c:v>5.0136964945147126E-2</c:v>
                </c:pt>
                <c:pt idx="3">
                  <c:v>4.4802114505370014E-2</c:v>
                </c:pt>
                <c:pt idx="4">
                  <c:v>5.3456587508867462E-2</c:v>
                </c:pt>
                <c:pt idx="5">
                  <c:v>0.10587501670406887</c:v>
                </c:pt>
                <c:pt idx="6">
                  <c:v>0.1200169257520699</c:v>
                </c:pt>
                <c:pt idx="7">
                  <c:v>0.13251931657912988</c:v>
                </c:pt>
                <c:pt idx="8">
                  <c:v>0.14649681528597086</c:v>
                </c:pt>
                <c:pt idx="9">
                  <c:v>0.15554336852283143</c:v>
                </c:pt>
                <c:pt idx="10">
                  <c:v>0.17077349402890185</c:v>
                </c:pt>
                <c:pt idx="11">
                  <c:v>0.18690889790410814</c:v>
                </c:pt>
                <c:pt idx="12">
                  <c:v>0.2185426038850822</c:v>
                </c:pt>
                <c:pt idx="13">
                  <c:v>0.25115065403175979</c:v>
                </c:pt>
                <c:pt idx="14">
                  <c:v>0.28835813867829008</c:v>
                </c:pt>
                <c:pt idx="15">
                  <c:v>0.31936495034652568</c:v>
                </c:pt>
                <c:pt idx="16">
                  <c:v>0.35544352146487745</c:v>
                </c:pt>
                <c:pt idx="17">
                  <c:v>0.4084784641810576</c:v>
                </c:pt>
                <c:pt idx="18">
                  <c:v>0.62106364971766992</c:v>
                </c:pt>
                <c:pt idx="19">
                  <c:v>0.89973035297058013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E5-4DCC-B0A4-370F63631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192840"/>
        <c:axId val="619135904"/>
      </c:scatterChart>
      <c:valAx>
        <c:axId val="619192840"/>
        <c:scaling>
          <c:orientation val="minMax"/>
          <c:max val="1"/>
        </c:scaling>
        <c:delete val="1"/>
        <c:axPos val="b"/>
        <c:numFmt formatCode="General" sourceLinked="1"/>
        <c:majorTickMark val="none"/>
        <c:minorTickMark val="none"/>
        <c:tickLblPos val="nextTo"/>
        <c:crossAx val="619135904"/>
        <c:crosses val="autoZero"/>
        <c:crossBetween val="midCat"/>
        <c:majorUnit val="0.25"/>
      </c:valAx>
      <c:valAx>
        <c:axId val="619135904"/>
        <c:scaling>
          <c:orientation val="minMax"/>
          <c:max val="1"/>
        </c:scaling>
        <c:delete val="1"/>
        <c:axPos val="l"/>
        <c:numFmt formatCode="General" sourceLinked="1"/>
        <c:majorTickMark val="none"/>
        <c:minorTickMark val="none"/>
        <c:tickLblPos val="nextTo"/>
        <c:crossAx val="619192840"/>
        <c:crosses val="autoZero"/>
        <c:crossBetween val="midCat"/>
        <c:majorUnit val="0.25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Discharge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Sheet1!$AK$2:$AK$22</c:f>
              <c:numCache>
                <c:formatCode>General</c:formatCode>
                <c:ptCount val="21"/>
              </c:numCache>
            </c:numRef>
          </c:xVal>
          <c:yVal>
            <c:numRef>
              <c:f>Sheet1!$AL$2:$AL$22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CA6-4BFC-8B04-22D49EE00DBF}"/>
            </c:ext>
          </c:extLst>
        </c:ser>
        <c:ser>
          <c:idx val="2"/>
          <c:order val="1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Sheet1!$AN$2:$AN$22</c:f>
              <c:numCache>
                <c:formatCode>General</c:formatCode>
                <c:ptCount val="21"/>
              </c:numCache>
            </c:numRef>
          </c:xVal>
          <c:yVal>
            <c:numRef>
              <c:f>Sheet1!$AO$2:$AO$22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CA6-4BFC-8B04-22D49EE00DBF}"/>
            </c:ext>
          </c:extLst>
        </c:ser>
        <c:ser>
          <c:idx val="3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Sheet1!$K$2:$K$22</c:f>
              <c:numCache>
                <c:formatCode>General</c:formatCode>
                <c:ptCount val="21"/>
                <c:pt idx="0">
                  <c:v>4.1908932956160001</c:v>
                </c:pt>
                <c:pt idx="1">
                  <c:v>7.4501623383552005</c:v>
                </c:pt>
                <c:pt idx="2">
                  <c:v>10.709431381094401</c:v>
                </c:pt>
                <c:pt idx="3">
                  <c:v>13.968700423833601</c:v>
                </c:pt>
                <c:pt idx="4">
                  <c:v>17.227969466572802</c:v>
                </c:pt>
                <c:pt idx="5">
                  <c:v>20.487238509312</c:v>
                </c:pt>
                <c:pt idx="6">
                  <c:v>23.746507552051199</c:v>
                </c:pt>
                <c:pt idx="7">
                  <c:v>27.005776594790397</c:v>
                </c:pt>
                <c:pt idx="8">
                  <c:v>30.265045637529596</c:v>
                </c:pt>
                <c:pt idx="9">
                  <c:v>33.524314680268795</c:v>
                </c:pt>
                <c:pt idx="10">
                  <c:v>36.783583723007993</c:v>
                </c:pt>
                <c:pt idx="11">
                  <c:v>40.042852765747192</c:v>
                </c:pt>
                <c:pt idx="12">
                  <c:v>43.30212180848639</c:v>
                </c:pt>
                <c:pt idx="13">
                  <c:v>46.561390851225589</c:v>
                </c:pt>
                <c:pt idx="14">
                  <c:v>49.820659893964788</c:v>
                </c:pt>
                <c:pt idx="15">
                  <c:v>53.079928936703986</c:v>
                </c:pt>
                <c:pt idx="16">
                  <c:v>56.339197979443185</c:v>
                </c:pt>
                <c:pt idx="17">
                  <c:v>59.598467022182383</c:v>
                </c:pt>
                <c:pt idx="18">
                  <c:v>62.857736064921582</c:v>
                </c:pt>
                <c:pt idx="19">
                  <c:v>66.117005107660788</c:v>
                </c:pt>
                <c:pt idx="20">
                  <c:v>69.376274150399993</c:v>
                </c:pt>
              </c:numCache>
            </c:numRef>
          </c:xVal>
          <c:yVal>
            <c:numRef>
              <c:f>Sheet1!$L$2:$L$22</c:f>
              <c:numCache>
                <c:formatCode>General</c:formatCode>
                <c:ptCount val="21"/>
                <c:pt idx="0">
                  <c:v>39.200000000000003</c:v>
                </c:pt>
                <c:pt idx="1">
                  <c:v>394.46153841769467</c:v>
                </c:pt>
                <c:pt idx="2">
                  <c:v>2218.5448003379115</c:v>
                </c:pt>
                <c:pt idx="3">
                  <c:v>4427.8398177817835</c:v>
                </c:pt>
                <c:pt idx="4">
                  <c:v>6256.1599956241434</c:v>
                </c:pt>
                <c:pt idx="5">
                  <c:v>8028.7000022750581</c:v>
                </c:pt>
                <c:pt idx="6">
                  <c:v>9523.211539509437</c:v>
                </c:pt>
                <c:pt idx="7">
                  <c:v>10249.964741901462</c:v>
                </c:pt>
                <c:pt idx="8">
                  <c:v>10976.717948421574</c:v>
                </c:pt>
                <c:pt idx="9">
                  <c:v>11482.571427870342</c:v>
                </c:pt>
                <c:pt idx="10">
                  <c:v>11811.428572200904</c:v>
                </c:pt>
                <c:pt idx="11">
                  <c:v>12156.399999238924</c:v>
                </c:pt>
                <c:pt idx="12">
                  <c:v>12616.800000254811</c:v>
                </c:pt>
                <c:pt idx="13">
                  <c:v>12407.777778539134</c:v>
                </c:pt>
                <c:pt idx="14">
                  <c:v>7791.7999999823978</c:v>
                </c:pt>
                <c:pt idx="15">
                  <c:v>7575.9374999744614</c:v>
                </c:pt>
                <c:pt idx="16">
                  <c:v>7504.0000000712462</c:v>
                </c:pt>
                <c:pt idx="17">
                  <c:v>7432.062500168031</c:v>
                </c:pt>
                <c:pt idx="18">
                  <c:v>6753.8666677417859</c:v>
                </c:pt>
                <c:pt idx="19">
                  <c:v>7313.4076920742245</c:v>
                </c:pt>
                <c:pt idx="20">
                  <c:v>18000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CA6-4BFC-8B04-22D49EE00DBF}"/>
            </c:ext>
          </c:extLst>
        </c:ser>
        <c:ser>
          <c:idx val="0"/>
          <c:order val="3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Sheet1!$N$2:$N$22</c:f>
              <c:numCache>
                <c:formatCode>General</c:formatCode>
                <c:ptCount val="21"/>
                <c:pt idx="0">
                  <c:v>4.1908932956160001</c:v>
                </c:pt>
                <c:pt idx="1">
                  <c:v>7.4501623383552005</c:v>
                </c:pt>
                <c:pt idx="2">
                  <c:v>10.709431381094401</c:v>
                </c:pt>
                <c:pt idx="3">
                  <c:v>13.968700423833601</c:v>
                </c:pt>
                <c:pt idx="4">
                  <c:v>17.227969466572802</c:v>
                </c:pt>
                <c:pt idx="5">
                  <c:v>20.487238509312</c:v>
                </c:pt>
                <c:pt idx="6">
                  <c:v>23.746507552051199</c:v>
                </c:pt>
                <c:pt idx="7">
                  <c:v>27.005776594790397</c:v>
                </c:pt>
                <c:pt idx="8">
                  <c:v>30.265045637529596</c:v>
                </c:pt>
                <c:pt idx="9">
                  <c:v>33.524314680268795</c:v>
                </c:pt>
                <c:pt idx="10">
                  <c:v>36.783583723007993</c:v>
                </c:pt>
                <c:pt idx="11">
                  <c:v>40.042852765747192</c:v>
                </c:pt>
                <c:pt idx="12">
                  <c:v>43.30212180848639</c:v>
                </c:pt>
                <c:pt idx="13">
                  <c:v>46.561390851225589</c:v>
                </c:pt>
                <c:pt idx="14">
                  <c:v>49.820659893964788</c:v>
                </c:pt>
                <c:pt idx="15">
                  <c:v>53.079928936703986</c:v>
                </c:pt>
                <c:pt idx="16">
                  <c:v>56.339197979443185</c:v>
                </c:pt>
                <c:pt idx="17">
                  <c:v>59.598467022182383</c:v>
                </c:pt>
                <c:pt idx="18">
                  <c:v>62.857736064921582</c:v>
                </c:pt>
                <c:pt idx="19">
                  <c:v>66.117005107660788</c:v>
                </c:pt>
                <c:pt idx="20">
                  <c:v>69.376274150399993</c:v>
                </c:pt>
              </c:numCache>
            </c:numRef>
          </c:xVal>
          <c:yVal>
            <c:numRef>
              <c:f>Sheet1!$O$2:$O$22</c:f>
              <c:numCache>
                <c:formatCode>General</c:formatCode>
                <c:ptCount val="21"/>
                <c:pt idx="0">
                  <c:v>101.74999999965075</c:v>
                </c:pt>
                <c:pt idx="1">
                  <c:v>379.14999998910355</c:v>
                </c:pt>
                <c:pt idx="2">
                  <c:v>939.6999999867985</c:v>
                </c:pt>
                <c:pt idx="3">
                  <c:v>843.88181820804971</c:v>
                </c:pt>
                <c:pt idx="4">
                  <c:v>999.32307692926668</c:v>
                </c:pt>
                <c:pt idx="5">
                  <c:v>1940.8000000184402</c:v>
                </c:pt>
                <c:pt idx="6">
                  <c:v>2194.8000000477768</c:v>
                </c:pt>
                <c:pt idx="7">
                  <c:v>2419.3529412144358</c:v>
                </c:pt>
                <c:pt idx="8">
                  <c:v>2670.3999999882653</c:v>
                </c:pt>
                <c:pt idx="9">
                  <c:v>2832.8833333648704</c:v>
                </c:pt>
                <c:pt idx="10">
                  <c:v>3106.4285715543001</c:v>
                </c:pt>
                <c:pt idx="11">
                  <c:v>3396.2333334761051</c:v>
                </c:pt>
                <c:pt idx="12">
                  <c:v>3964.3999998591839</c:v>
                </c:pt>
                <c:pt idx="13">
                  <c:v>4550.0666669336306</c:v>
                </c:pt>
                <c:pt idx="14">
                  <c:v>5218.3428571730319</c:v>
                </c:pt>
                <c:pt idx="15">
                  <c:v>5775.250000183878</c:v>
                </c:pt>
                <c:pt idx="16">
                  <c:v>6423.2500003263704</c:v>
                </c:pt>
                <c:pt idx="17">
                  <c:v>7375.7999994631391</c:v>
                </c:pt>
                <c:pt idx="18">
                  <c:v>11193.999999849126</c:v>
                </c:pt>
                <c:pt idx="19">
                  <c:v>16199.076923633997</c:v>
                </c:pt>
                <c:pt idx="20">
                  <c:v>18000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CA6-4BFC-8B04-22D49EE00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543176"/>
        <c:axId val="283543504"/>
      </c:scatterChart>
      <c:valAx>
        <c:axId val="283543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543504"/>
        <c:crosses val="autoZero"/>
        <c:crossBetween val="midCat"/>
      </c:valAx>
      <c:valAx>
        <c:axId val="28354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54317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Qs</a:t>
            </a:r>
            <a:r>
              <a:rPr lang="en-US" baseline="0"/>
              <a:t> = Fct(Ql)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marker>
            <c:symbol val="none"/>
          </c:marker>
          <c:xVal>
            <c:numRef>
              <c:f>'Data-launch '!#REF!</c:f>
            </c:numRef>
          </c:xVal>
          <c:yVal>
            <c:numRef>
              <c:f>'Data-launch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7F-400F-9D5B-7D625CE9A904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Sheet1!$B$2:$B$140</c:f>
              <c:numCache>
                <c:formatCode>General</c:formatCode>
                <c:ptCount val="139"/>
                <c:pt idx="0">
                  <c:v>4.1908932956160001</c:v>
                </c:pt>
                <c:pt idx="1">
                  <c:v>4.2192101422080004</c:v>
                </c:pt>
                <c:pt idx="2">
                  <c:v>4.445744914944</c:v>
                </c:pt>
                <c:pt idx="3">
                  <c:v>4.8988144604159993</c:v>
                </c:pt>
                <c:pt idx="4">
                  <c:v>5.9182209377280008</c:v>
                </c:pt>
                <c:pt idx="5">
                  <c:v>8.1269349719039994</c:v>
                </c:pt>
                <c:pt idx="6">
                  <c:v>14.384958068736001</c:v>
                </c:pt>
                <c:pt idx="7">
                  <c:v>22.880012046335999</c:v>
                </c:pt>
                <c:pt idx="8">
                  <c:v>31.714868183040004</c:v>
                </c:pt>
                <c:pt idx="9">
                  <c:v>39.643585228799999</c:v>
                </c:pt>
                <c:pt idx="10">
                  <c:v>45.3069545472</c:v>
                </c:pt>
                <c:pt idx="11">
                  <c:v>47.855470740480001</c:v>
                </c:pt>
                <c:pt idx="12">
                  <c:v>48.704976138240006</c:v>
                </c:pt>
                <c:pt idx="13">
                  <c:v>47.855470740480001</c:v>
                </c:pt>
                <c:pt idx="14">
                  <c:v>47.005965342720003</c:v>
                </c:pt>
                <c:pt idx="15">
                  <c:v>47.855470740480001</c:v>
                </c:pt>
                <c:pt idx="16">
                  <c:v>48.138639206400001</c:v>
                </c:pt>
                <c:pt idx="17">
                  <c:v>48.704976138240006</c:v>
                </c:pt>
                <c:pt idx="18">
                  <c:v>47.855470740480001</c:v>
                </c:pt>
                <c:pt idx="19">
                  <c:v>49.554481535999997</c:v>
                </c:pt>
                <c:pt idx="20">
                  <c:v>49.554481535999997</c:v>
                </c:pt>
                <c:pt idx="21">
                  <c:v>51.53666079744</c:v>
                </c:pt>
                <c:pt idx="22">
                  <c:v>60.598051706880007</c:v>
                </c:pt>
                <c:pt idx="23">
                  <c:v>65.695084093440002</c:v>
                </c:pt>
                <c:pt idx="24">
                  <c:v>69.376274150400008</c:v>
                </c:pt>
                <c:pt idx="25">
                  <c:v>67.960431820800011</c:v>
                </c:pt>
                <c:pt idx="26">
                  <c:v>64.279241763840005</c:v>
                </c:pt>
                <c:pt idx="27">
                  <c:v>62.580230968320002</c:v>
                </c:pt>
                <c:pt idx="28">
                  <c:v>63.712904832</c:v>
                </c:pt>
                <c:pt idx="29">
                  <c:v>63.712904832</c:v>
                </c:pt>
                <c:pt idx="30">
                  <c:v>62.580230968320002</c:v>
                </c:pt>
                <c:pt idx="31">
                  <c:v>61.447557104639998</c:v>
                </c:pt>
                <c:pt idx="32">
                  <c:v>60.598051706880007</c:v>
                </c:pt>
                <c:pt idx="33">
                  <c:v>59.465377843200002</c:v>
                </c:pt>
                <c:pt idx="34">
                  <c:v>60.031714775040001</c:v>
                </c:pt>
                <c:pt idx="35">
                  <c:v>60.31488324096</c:v>
                </c:pt>
                <c:pt idx="36">
                  <c:v>59.182209377280003</c:v>
                </c:pt>
                <c:pt idx="37">
                  <c:v>57.48319858176</c:v>
                </c:pt>
                <c:pt idx="38">
                  <c:v>55.217850854399998</c:v>
                </c:pt>
                <c:pt idx="39">
                  <c:v>53.802008524800002</c:v>
                </c:pt>
                <c:pt idx="40">
                  <c:v>51.53666079744</c:v>
                </c:pt>
                <c:pt idx="41">
                  <c:v>49.554481535999997</c:v>
                </c:pt>
                <c:pt idx="42">
                  <c:v>48.138639206400001</c:v>
                </c:pt>
                <c:pt idx="43">
                  <c:v>46.439628410880005</c:v>
                </c:pt>
                <c:pt idx="44">
                  <c:v>45.023786081280001</c:v>
                </c:pt>
                <c:pt idx="45">
                  <c:v>43.324775285759998</c:v>
                </c:pt>
                <c:pt idx="46">
                  <c:v>42.19210142208</c:v>
                </c:pt>
                <c:pt idx="47">
                  <c:v>40.209922160640005</c:v>
                </c:pt>
                <c:pt idx="48">
                  <c:v>38.510911365120002</c:v>
                </c:pt>
                <c:pt idx="49">
                  <c:v>37.095069035519998</c:v>
                </c:pt>
                <c:pt idx="50">
                  <c:v>35.112889774080003</c:v>
                </c:pt>
                <c:pt idx="51">
                  <c:v>33.697047444479999</c:v>
                </c:pt>
                <c:pt idx="52">
                  <c:v>31.998036648960003</c:v>
                </c:pt>
                <c:pt idx="53">
                  <c:v>30.582194319360003</c:v>
                </c:pt>
                <c:pt idx="54">
                  <c:v>29.449520455680002</c:v>
                </c:pt>
                <c:pt idx="55">
                  <c:v>28.60001505792</c:v>
                </c:pt>
                <c:pt idx="56">
                  <c:v>27.354073807872002</c:v>
                </c:pt>
                <c:pt idx="57">
                  <c:v>26.872687415808002</c:v>
                </c:pt>
                <c:pt idx="58">
                  <c:v>25.796647245312002</c:v>
                </c:pt>
                <c:pt idx="59">
                  <c:v>25.003775540736001</c:v>
                </c:pt>
                <c:pt idx="60">
                  <c:v>23.984369063424001</c:v>
                </c:pt>
                <c:pt idx="61">
                  <c:v>23.418032131584003</c:v>
                </c:pt>
                <c:pt idx="62">
                  <c:v>22.568526733824001</c:v>
                </c:pt>
                <c:pt idx="63">
                  <c:v>21.803971875840002</c:v>
                </c:pt>
                <c:pt idx="64">
                  <c:v>21.181001250815999</c:v>
                </c:pt>
                <c:pt idx="65">
                  <c:v>20.473080086016001</c:v>
                </c:pt>
                <c:pt idx="66">
                  <c:v>19.963376847359999</c:v>
                </c:pt>
                <c:pt idx="67">
                  <c:v>19.170505142784002</c:v>
                </c:pt>
                <c:pt idx="68">
                  <c:v>18.689118750720002</c:v>
                </c:pt>
                <c:pt idx="69">
                  <c:v>18.236049205248001</c:v>
                </c:pt>
                <c:pt idx="70">
                  <c:v>17.669712273407999</c:v>
                </c:pt>
                <c:pt idx="71">
                  <c:v>17.584761733632</c:v>
                </c:pt>
                <c:pt idx="72">
                  <c:v>17.216642727935998</c:v>
                </c:pt>
                <c:pt idx="73">
                  <c:v>17.216642727935998</c:v>
                </c:pt>
                <c:pt idx="74">
                  <c:v>17.499811193856001</c:v>
                </c:pt>
                <c:pt idx="75">
                  <c:v>17.754662813184002</c:v>
                </c:pt>
                <c:pt idx="76">
                  <c:v>18.12278181888</c:v>
                </c:pt>
                <c:pt idx="77">
                  <c:v>18.405950284799999</c:v>
                </c:pt>
                <c:pt idx="78">
                  <c:v>18.519217671168001</c:v>
                </c:pt>
                <c:pt idx="79">
                  <c:v>18.802386137088</c:v>
                </c:pt>
                <c:pt idx="80">
                  <c:v>18.689118750720002</c:v>
                </c:pt>
                <c:pt idx="81">
                  <c:v>18.802386137088</c:v>
                </c:pt>
                <c:pt idx="82">
                  <c:v>18.689118750720002</c:v>
                </c:pt>
                <c:pt idx="83">
                  <c:v>18.320999745024</c:v>
                </c:pt>
                <c:pt idx="84">
                  <c:v>18.12278181888</c:v>
                </c:pt>
                <c:pt idx="85">
                  <c:v>17.867930199551999</c:v>
                </c:pt>
                <c:pt idx="86">
                  <c:v>17.386543807488</c:v>
                </c:pt>
                <c:pt idx="87">
                  <c:v>17.018424801792001</c:v>
                </c:pt>
                <c:pt idx="88">
                  <c:v>16.763573182464</c:v>
                </c:pt>
                <c:pt idx="89">
                  <c:v>16.395454176768002</c:v>
                </c:pt>
                <c:pt idx="90">
                  <c:v>16.055652017664002</c:v>
                </c:pt>
                <c:pt idx="91">
                  <c:v>15.71584985856</c:v>
                </c:pt>
                <c:pt idx="92">
                  <c:v>15.376047699456</c:v>
                </c:pt>
                <c:pt idx="93">
                  <c:v>15.036245540352001</c:v>
                </c:pt>
                <c:pt idx="94">
                  <c:v>14.696443381248001</c:v>
                </c:pt>
                <c:pt idx="95">
                  <c:v>14.384958068736001</c:v>
                </c:pt>
                <c:pt idx="96">
                  <c:v>14.045155909631999</c:v>
                </c:pt>
                <c:pt idx="97">
                  <c:v>13.733670597120001</c:v>
                </c:pt>
                <c:pt idx="98">
                  <c:v>13.422185284608</c:v>
                </c:pt>
                <c:pt idx="99">
                  <c:v>13.195650511872</c:v>
                </c:pt>
                <c:pt idx="100">
                  <c:v>12.88416519936</c:v>
                </c:pt>
                <c:pt idx="101">
                  <c:v>12.657630426624001</c:v>
                </c:pt>
                <c:pt idx="102">
                  <c:v>12.374461960704</c:v>
                </c:pt>
                <c:pt idx="103">
                  <c:v>12.147927187968</c:v>
                </c:pt>
                <c:pt idx="104">
                  <c:v>11.921392415231999</c:v>
                </c:pt>
                <c:pt idx="105">
                  <c:v>11.638223949312</c:v>
                </c:pt>
                <c:pt idx="106">
                  <c:v>11.440006023167999</c:v>
                </c:pt>
                <c:pt idx="107">
                  <c:v>11.156837557248</c:v>
                </c:pt>
                <c:pt idx="108">
                  <c:v>11.015253324288</c:v>
                </c:pt>
                <c:pt idx="109">
                  <c:v>10.817035398144</c:v>
                </c:pt>
                <c:pt idx="110">
                  <c:v>10.533866932224001</c:v>
                </c:pt>
                <c:pt idx="111">
                  <c:v>10.47723323904</c:v>
                </c:pt>
                <c:pt idx="112">
                  <c:v>10.279015312896002</c:v>
                </c:pt>
                <c:pt idx="113">
                  <c:v>10.024163693567999</c:v>
                </c:pt>
                <c:pt idx="114">
                  <c:v>9.8259457674240007</c:v>
                </c:pt>
                <c:pt idx="115">
                  <c:v>9.7409952276479999</c:v>
                </c:pt>
                <c:pt idx="116">
                  <c:v>9.6277278412800005</c:v>
                </c:pt>
                <c:pt idx="117">
                  <c:v>9.4295099151360002</c:v>
                </c:pt>
                <c:pt idx="118">
                  <c:v>9.3728762219519997</c:v>
                </c:pt>
                <c:pt idx="119">
                  <c:v>9.2029751423999997</c:v>
                </c:pt>
                <c:pt idx="120">
                  <c:v>9.0047572162560012</c:v>
                </c:pt>
                <c:pt idx="121">
                  <c:v>8.9481235230719989</c:v>
                </c:pt>
                <c:pt idx="122">
                  <c:v>8.8914898298880001</c:v>
                </c:pt>
                <c:pt idx="123">
                  <c:v>8.8348561367039995</c:v>
                </c:pt>
                <c:pt idx="124">
                  <c:v>8.636638210560001</c:v>
                </c:pt>
                <c:pt idx="125">
                  <c:v>8.5233708241919999</c:v>
                </c:pt>
                <c:pt idx="126">
                  <c:v>8.4667371310079993</c:v>
                </c:pt>
                <c:pt idx="127">
                  <c:v>8.3534697446399999</c:v>
                </c:pt>
                <c:pt idx="128">
                  <c:v>8.2402023582719988</c:v>
                </c:pt>
                <c:pt idx="129">
                  <c:v>8.183568665088</c:v>
                </c:pt>
                <c:pt idx="130">
                  <c:v>8.1269349719039994</c:v>
                </c:pt>
                <c:pt idx="131">
                  <c:v>8.013667585536</c:v>
                </c:pt>
                <c:pt idx="132">
                  <c:v>7.9570338923520003</c:v>
                </c:pt>
                <c:pt idx="133">
                  <c:v>7.9004001991680006</c:v>
                </c:pt>
                <c:pt idx="134">
                  <c:v>7.7304991196159998</c:v>
                </c:pt>
                <c:pt idx="135">
                  <c:v>7.6738654264320001</c:v>
                </c:pt>
                <c:pt idx="136">
                  <c:v>7.5039643468800001</c:v>
                </c:pt>
                <c:pt idx="137">
                  <c:v>7.4756475002880007</c:v>
                </c:pt>
                <c:pt idx="138">
                  <c:v>7.4190138071040002</c:v>
                </c:pt>
              </c:numCache>
            </c:numRef>
          </c:xVal>
          <c:yVal>
            <c:numRef>
              <c:f>Sheet1!$C$2:$C$140</c:f>
              <c:numCache>
                <c:formatCode>General</c:formatCode>
                <c:ptCount val="139"/>
                <c:pt idx="0">
                  <c:v>39.200000000000003</c:v>
                </c:pt>
                <c:pt idx="1">
                  <c:v>50.1</c:v>
                </c:pt>
                <c:pt idx="2">
                  <c:v>78</c:v>
                </c:pt>
                <c:pt idx="3">
                  <c:v>115</c:v>
                </c:pt>
                <c:pt idx="4">
                  <c:v>228</c:v>
                </c:pt>
                <c:pt idx="5">
                  <c:v>468</c:v>
                </c:pt>
                <c:pt idx="6">
                  <c:v>4710</c:v>
                </c:pt>
                <c:pt idx="7">
                  <c:v>9330</c:v>
                </c:pt>
                <c:pt idx="8">
                  <c:v>11300</c:v>
                </c:pt>
                <c:pt idx="9">
                  <c:v>12100</c:v>
                </c:pt>
                <c:pt idx="10">
                  <c:v>12900</c:v>
                </c:pt>
                <c:pt idx="11">
                  <c:v>11900</c:v>
                </c:pt>
                <c:pt idx="12">
                  <c:v>10900</c:v>
                </c:pt>
                <c:pt idx="13">
                  <c:v>9830</c:v>
                </c:pt>
                <c:pt idx="14">
                  <c:v>9040</c:v>
                </c:pt>
                <c:pt idx="15">
                  <c:v>8830</c:v>
                </c:pt>
                <c:pt idx="16">
                  <c:v>8630</c:v>
                </c:pt>
                <c:pt idx="17">
                  <c:v>8430</c:v>
                </c:pt>
                <c:pt idx="18">
                  <c:v>8220</c:v>
                </c:pt>
                <c:pt idx="19">
                  <c:v>8020</c:v>
                </c:pt>
                <c:pt idx="20">
                  <c:v>7820</c:v>
                </c:pt>
                <c:pt idx="21">
                  <c:v>7610</c:v>
                </c:pt>
                <c:pt idx="22">
                  <c:v>7410</c:v>
                </c:pt>
                <c:pt idx="23">
                  <c:v>5930</c:v>
                </c:pt>
                <c:pt idx="24">
                  <c:v>18000</c:v>
                </c:pt>
                <c:pt idx="25">
                  <c:v>16800</c:v>
                </c:pt>
                <c:pt idx="26">
                  <c:v>15600</c:v>
                </c:pt>
                <c:pt idx="27">
                  <c:v>14500</c:v>
                </c:pt>
                <c:pt idx="28">
                  <c:v>13300</c:v>
                </c:pt>
                <c:pt idx="29">
                  <c:v>12100</c:v>
                </c:pt>
                <c:pt idx="30">
                  <c:v>10900</c:v>
                </c:pt>
                <c:pt idx="31">
                  <c:v>9990</c:v>
                </c:pt>
                <c:pt idx="32">
                  <c:v>9430</c:v>
                </c:pt>
                <c:pt idx="33">
                  <c:v>8860</c:v>
                </c:pt>
                <c:pt idx="34">
                  <c:v>8300</c:v>
                </c:pt>
                <c:pt idx="35">
                  <c:v>7730</c:v>
                </c:pt>
                <c:pt idx="36">
                  <c:v>7170</c:v>
                </c:pt>
                <c:pt idx="37">
                  <c:v>6600</c:v>
                </c:pt>
                <c:pt idx="38">
                  <c:v>6250</c:v>
                </c:pt>
                <c:pt idx="39">
                  <c:v>5890</c:v>
                </c:pt>
                <c:pt idx="40">
                  <c:v>5530</c:v>
                </c:pt>
                <c:pt idx="41">
                  <c:v>5170</c:v>
                </c:pt>
                <c:pt idx="42">
                  <c:v>4810</c:v>
                </c:pt>
                <c:pt idx="43">
                  <c:v>4530</c:v>
                </c:pt>
                <c:pt idx="44">
                  <c:v>4250</c:v>
                </c:pt>
                <c:pt idx="45">
                  <c:v>3970</c:v>
                </c:pt>
                <c:pt idx="46">
                  <c:v>3690</c:v>
                </c:pt>
                <c:pt idx="47">
                  <c:v>3410</c:v>
                </c:pt>
                <c:pt idx="48">
                  <c:v>3270</c:v>
                </c:pt>
                <c:pt idx="49">
                  <c:v>3130</c:v>
                </c:pt>
                <c:pt idx="50">
                  <c:v>2980</c:v>
                </c:pt>
                <c:pt idx="51">
                  <c:v>2840</c:v>
                </c:pt>
                <c:pt idx="52">
                  <c:v>2770</c:v>
                </c:pt>
                <c:pt idx="53">
                  <c:v>2690</c:v>
                </c:pt>
                <c:pt idx="54">
                  <c:v>2620</c:v>
                </c:pt>
                <c:pt idx="55">
                  <c:v>2540</c:v>
                </c:pt>
                <c:pt idx="56">
                  <c:v>2470</c:v>
                </c:pt>
                <c:pt idx="57">
                  <c:v>2400</c:v>
                </c:pt>
                <c:pt idx="58">
                  <c:v>2340</c:v>
                </c:pt>
                <c:pt idx="59">
                  <c:v>2280</c:v>
                </c:pt>
                <c:pt idx="60">
                  <c:v>2220</c:v>
                </c:pt>
                <c:pt idx="61">
                  <c:v>2160</c:v>
                </c:pt>
                <c:pt idx="62">
                  <c:v>2100</c:v>
                </c:pt>
                <c:pt idx="63">
                  <c:v>2040</c:v>
                </c:pt>
                <c:pt idx="64">
                  <c:v>1980</c:v>
                </c:pt>
                <c:pt idx="65">
                  <c:v>1940</c:v>
                </c:pt>
                <c:pt idx="66">
                  <c:v>1890</c:v>
                </c:pt>
                <c:pt idx="67">
                  <c:v>1850</c:v>
                </c:pt>
                <c:pt idx="68">
                  <c:v>1810</c:v>
                </c:pt>
                <c:pt idx="69">
                  <c:v>1760</c:v>
                </c:pt>
                <c:pt idx="70">
                  <c:v>1720</c:v>
                </c:pt>
                <c:pt idx="71">
                  <c:v>1670</c:v>
                </c:pt>
                <c:pt idx="72">
                  <c:v>1630</c:v>
                </c:pt>
                <c:pt idx="73">
                  <c:v>1590</c:v>
                </c:pt>
                <c:pt idx="74">
                  <c:v>1540</c:v>
                </c:pt>
                <c:pt idx="75">
                  <c:v>1500</c:v>
                </c:pt>
                <c:pt idx="76">
                  <c:v>1460</c:v>
                </c:pt>
                <c:pt idx="77">
                  <c:v>1410</c:v>
                </c:pt>
                <c:pt idx="78">
                  <c:v>1370</c:v>
                </c:pt>
                <c:pt idx="79">
                  <c:v>1320</c:v>
                </c:pt>
                <c:pt idx="80">
                  <c:v>1280</c:v>
                </c:pt>
                <c:pt idx="81">
                  <c:v>1240</c:v>
                </c:pt>
                <c:pt idx="82">
                  <c:v>1190</c:v>
                </c:pt>
                <c:pt idx="83">
                  <c:v>1150</c:v>
                </c:pt>
                <c:pt idx="84">
                  <c:v>1100</c:v>
                </c:pt>
                <c:pt idx="85">
                  <c:v>1060</c:v>
                </c:pt>
                <c:pt idx="86">
                  <c:v>1020</c:v>
                </c:pt>
                <c:pt idx="87">
                  <c:v>972</c:v>
                </c:pt>
                <c:pt idx="88">
                  <c:v>929</c:v>
                </c:pt>
                <c:pt idx="89">
                  <c:v>902</c:v>
                </c:pt>
                <c:pt idx="90">
                  <c:v>876</c:v>
                </c:pt>
                <c:pt idx="91">
                  <c:v>850</c:v>
                </c:pt>
                <c:pt idx="92">
                  <c:v>824</c:v>
                </c:pt>
                <c:pt idx="93">
                  <c:v>798</c:v>
                </c:pt>
                <c:pt idx="94">
                  <c:v>772</c:v>
                </c:pt>
                <c:pt idx="95">
                  <c:v>746</c:v>
                </c:pt>
                <c:pt idx="96">
                  <c:v>824</c:v>
                </c:pt>
                <c:pt idx="97">
                  <c:v>905</c:v>
                </c:pt>
                <c:pt idx="98">
                  <c:v>986</c:v>
                </c:pt>
                <c:pt idx="99">
                  <c:v>1070</c:v>
                </c:pt>
                <c:pt idx="100">
                  <c:v>1150</c:v>
                </c:pt>
                <c:pt idx="101">
                  <c:v>1230</c:v>
                </c:pt>
                <c:pt idx="102">
                  <c:v>1240</c:v>
                </c:pt>
                <c:pt idx="103">
                  <c:v>1130</c:v>
                </c:pt>
                <c:pt idx="104">
                  <c:v>1110</c:v>
                </c:pt>
                <c:pt idx="105">
                  <c:v>1160</c:v>
                </c:pt>
                <c:pt idx="106">
                  <c:v>1060</c:v>
                </c:pt>
                <c:pt idx="107">
                  <c:v>1020</c:v>
                </c:pt>
                <c:pt idx="108">
                  <c:v>987</c:v>
                </c:pt>
                <c:pt idx="109">
                  <c:v>953</c:v>
                </c:pt>
                <c:pt idx="110">
                  <c:v>918</c:v>
                </c:pt>
                <c:pt idx="111">
                  <c:v>892</c:v>
                </c:pt>
                <c:pt idx="112">
                  <c:v>865</c:v>
                </c:pt>
                <c:pt idx="113">
                  <c:v>839</c:v>
                </c:pt>
                <c:pt idx="114">
                  <c:v>813</c:v>
                </c:pt>
                <c:pt idx="115">
                  <c:v>786</c:v>
                </c:pt>
                <c:pt idx="116">
                  <c:v>760</c:v>
                </c:pt>
                <c:pt idx="117">
                  <c:v>734</c:v>
                </c:pt>
                <c:pt idx="118">
                  <c:v>707</c:v>
                </c:pt>
                <c:pt idx="119">
                  <c:v>687</c:v>
                </c:pt>
                <c:pt idx="120">
                  <c:v>667</c:v>
                </c:pt>
                <c:pt idx="121">
                  <c:v>648</c:v>
                </c:pt>
                <c:pt idx="122">
                  <c:v>629</c:v>
                </c:pt>
                <c:pt idx="123">
                  <c:v>610</c:v>
                </c:pt>
                <c:pt idx="124">
                  <c:v>590</c:v>
                </c:pt>
                <c:pt idx="125">
                  <c:v>571</c:v>
                </c:pt>
                <c:pt idx="126">
                  <c:v>552</c:v>
                </c:pt>
                <c:pt idx="127">
                  <c:v>533</c:v>
                </c:pt>
                <c:pt idx="128">
                  <c:v>513</c:v>
                </c:pt>
                <c:pt idx="129">
                  <c:v>495</c:v>
                </c:pt>
                <c:pt idx="130">
                  <c:v>482</c:v>
                </c:pt>
                <c:pt idx="131">
                  <c:v>468</c:v>
                </c:pt>
                <c:pt idx="132">
                  <c:v>454</c:v>
                </c:pt>
                <c:pt idx="133">
                  <c:v>440</c:v>
                </c:pt>
                <c:pt idx="134">
                  <c:v>427</c:v>
                </c:pt>
                <c:pt idx="135">
                  <c:v>413</c:v>
                </c:pt>
                <c:pt idx="136">
                  <c:v>399</c:v>
                </c:pt>
                <c:pt idx="137">
                  <c:v>385</c:v>
                </c:pt>
                <c:pt idx="138">
                  <c:v>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7F-400F-9D5B-7D625CE9A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566976"/>
        <c:axId val="408567304"/>
      </c:scatterChart>
      <c:valAx>
        <c:axId val="40856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67304"/>
        <c:crosses val="autoZero"/>
        <c:crossBetween val="midCat"/>
      </c:valAx>
      <c:valAx>
        <c:axId val="40856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6697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[4]</a:t>
            </a:r>
            <a:r>
              <a:rPr lang="en-US" baseline="0"/>
              <a:t> Final vs New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Sheet1!$AC$2:$AC$22</c:f>
              <c:numCache>
                <c:formatCode>General</c:formatCode>
                <c:ptCount val="21"/>
              </c:numCache>
            </c:numRef>
          </c:xVal>
          <c:yVal>
            <c:numRef>
              <c:f>Sheet1!$AD$2:$AD$22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DD1-42D4-A52F-8F32D21C377D}"/>
            </c:ext>
          </c:extLst>
        </c:ser>
        <c:ser>
          <c:idx val="3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Sheet1!$AF$2:$AF$22</c:f>
              <c:numCache>
                <c:formatCode>General</c:formatCode>
                <c:ptCount val="21"/>
              </c:numCache>
            </c:numRef>
          </c:xVal>
          <c:yVal>
            <c:numRef>
              <c:f>Sheet1!$AG$2:$AG$22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DD1-42D4-A52F-8F32D21C377D}"/>
            </c:ext>
          </c:extLst>
        </c:ser>
        <c:ser>
          <c:idx val="0"/>
          <c:order val="2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Sheet1!$AK$2:$AK$22</c:f>
              <c:numCache>
                <c:formatCode>General</c:formatCode>
                <c:ptCount val="21"/>
              </c:numCache>
            </c:numRef>
          </c:xVal>
          <c:yVal>
            <c:numRef>
              <c:f>Sheet1!$AL$2:$AL$22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D1-42D4-A52F-8F32D21C377D}"/>
            </c:ext>
          </c:extLst>
        </c:ser>
        <c:ser>
          <c:idx val="1"/>
          <c:order val="3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Sheet1!$AN$2:$AN$22</c:f>
              <c:numCache>
                <c:formatCode>General</c:formatCode>
                <c:ptCount val="21"/>
              </c:numCache>
            </c:numRef>
          </c:xVal>
          <c:yVal>
            <c:numRef>
              <c:f>Sheet1!$AO$2:$AO$22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DD1-42D4-A52F-8F32D21C3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486448"/>
        <c:axId val="395486776"/>
      </c:scatterChart>
      <c:valAx>
        <c:axId val="39548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486776"/>
        <c:crosses val="autoZero"/>
        <c:crossBetween val="midCat"/>
      </c:valAx>
      <c:valAx>
        <c:axId val="395486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486448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[5] Raw vs Final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Sheet1!$AC$2:$AC$22</c:f>
              <c:numCache>
                <c:formatCode>General</c:formatCode>
                <c:ptCount val="21"/>
              </c:numCache>
            </c:numRef>
          </c:xVal>
          <c:yVal>
            <c:numRef>
              <c:f>Sheet1!$AD$2:$AD$22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B46-4B03-B8A8-6E386D08A7F4}"/>
            </c:ext>
          </c:extLst>
        </c:ser>
        <c:ser>
          <c:idx val="2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Sheet1!$AF$2:$AF$22</c:f>
              <c:numCache>
                <c:formatCode>General</c:formatCode>
                <c:ptCount val="21"/>
              </c:numCache>
            </c:numRef>
          </c:xVal>
          <c:yVal>
            <c:numRef>
              <c:f>Sheet1!$AG$2:$AG$22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B46-4B03-B8A8-6E386D08A7F4}"/>
            </c:ext>
          </c:extLst>
        </c:ser>
        <c:ser>
          <c:idx val="0"/>
          <c:order val="2"/>
          <c:marker>
            <c:symbol val="none"/>
          </c:marker>
          <c:xVal>
            <c:numRef>
              <c:f>'Data-launch '!#REF!</c:f>
            </c:numRef>
          </c:xVal>
          <c:yVal>
            <c:numRef>
              <c:f>'Data-launch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B46-4B03-B8A8-6E386D08A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970680"/>
        <c:axId val="394971008"/>
      </c:scatterChart>
      <c:valAx>
        <c:axId val="39497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71008"/>
        <c:crosses val="autoZero"/>
        <c:crossBetween val="midCat"/>
      </c:valAx>
      <c:valAx>
        <c:axId val="39497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7068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[6] Raw vs New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Sheet1!$AK$2:$AK$22</c:f>
              <c:numCache>
                <c:formatCode>General</c:formatCode>
                <c:ptCount val="21"/>
              </c:numCache>
            </c:numRef>
          </c:xVal>
          <c:yVal>
            <c:numRef>
              <c:f>Sheet1!$AL$2:$AL$22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90-4385-897E-32D2E642B496}"/>
            </c:ext>
          </c:extLst>
        </c:ser>
        <c:ser>
          <c:idx val="2"/>
          <c:order val="1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Sheet1!$AN$2:$AN$22</c:f>
              <c:numCache>
                <c:formatCode>General</c:formatCode>
                <c:ptCount val="21"/>
              </c:numCache>
            </c:numRef>
          </c:xVal>
          <c:yVal>
            <c:numRef>
              <c:f>Sheet1!$AO$2:$AO$22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90-4385-897E-32D2E642B496}"/>
            </c:ext>
          </c:extLst>
        </c:ser>
        <c:ser>
          <c:idx val="0"/>
          <c:order val="2"/>
          <c:marker>
            <c:symbol val="none"/>
          </c:marker>
          <c:xVal>
            <c:numRef>
              <c:f>'Data-launch '!#REF!</c:f>
            </c:numRef>
          </c:xVal>
          <c:yVal>
            <c:numRef>
              <c:f>'Data-launch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90-4385-897E-32D2E642B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970680"/>
        <c:axId val="394971008"/>
      </c:scatterChart>
      <c:valAx>
        <c:axId val="39497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71008"/>
        <c:crosses val="autoZero"/>
        <c:crossBetween val="midCat"/>
      </c:valAx>
      <c:valAx>
        <c:axId val="39497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7068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SSC</a:t>
            </a:r>
            <a:r>
              <a:rPr lang="en-US" baseline="0"/>
              <a:t> = Fct(Ql)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'Data-launch '!#REF!</c:f>
            </c:numRef>
          </c:xVal>
          <c:yVal>
            <c:numRef>
              <c:f>'Data-launch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A-4805-897F-6C0146201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970680"/>
        <c:axId val="394971008"/>
      </c:scatterChart>
      <c:valAx>
        <c:axId val="39497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71008"/>
        <c:crosses val="autoZero"/>
        <c:crossBetween val="midCat"/>
      </c:valAx>
      <c:valAx>
        <c:axId val="39497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70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Qs</a:t>
            </a:r>
            <a:r>
              <a:rPr lang="en-US" baseline="0"/>
              <a:t> = Fct(Ql)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Sheet1!$B$2:$B$140</c:f>
              <c:numCache>
                <c:formatCode>General</c:formatCode>
                <c:ptCount val="139"/>
                <c:pt idx="0">
                  <c:v>4.1908932956160001</c:v>
                </c:pt>
                <c:pt idx="1">
                  <c:v>4.2192101422080004</c:v>
                </c:pt>
                <c:pt idx="2">
                  <c:v>4.445744914944</c:v>
                </c:pt>
                <c:pt idx="3">
                  <c:v>4.8988144604159993</c:v>
                </c:pt>
                <c:pt idx="4">
                  <c:v>5.9182209377280008</c:v>
                </c:pt>
                <c:pt idx="5">
                  <c:v>8.1269349719039994</c:v>
                </c:pt>
                <c:pt idx="6">
                  <c:v>14.384958068736001</c:v>
                </c:pt>
                <c:pt idx="7">
                  <c:v>22.880012046335999</c:v>
                </c:pt>
                <c:pt idx="8">
                  <c:v>31.714868183040004</c:v>
                </c:pt>
                <c:pt idx="9">
                  <c:v>39.643585228799999</c:v>
                </c:pt>
                <c:pt idx="10">
                  <c:v>45.3069545472</c:v>
                </c:pt>
                <c:pt idx="11">
                  <c:v>47.855470740480001</c:v>
                </c:pt>
                <c:pt idx="12">
                  <c:v>48.704976138240006</c:v>
                </c:pt>
                <c:pt idx="13">
                  <c:v>47.855470740480001</c:v>
                </c:pt>
                <c:pt idx="14">
                  <c:v>47.005965342720003</c:v>
                </c:pt>
                <c:pt idx="15">
                  <c:v>47.855470740480001</c:v>
                </c:pt>
                <c:pt idx="16">
                  <c:v>48.138639206400001</c:v>
                </c:pt>
                <c:pt idx="17">
                  <c:v>48.704976138240006</c:v>
                </c:pt>
                <c:pt idx="18">
                  <c:v>47.855470740480001</c:v>
                </c:pt>
                <c:pt idx="19">
                  <c:v>49.554481535999997</c:v>
                </c:pt>
                <c:pt idx="20">
                  <c:v>49.554481535999997</c:v>
                </c:pt>
                <c:pt idx="21">
                  <c:v>51.53666079744</c:v>
                </c:pt>
                <c:pt idx="22">
                  <c:v>60.598051706880007</c:v>
                </c:pt>
                <c:pt idx="23">
                  <c:v>65.695084093440002</c:v>
                </c:pt>
                <c:pt idx="24">
                  <c:v>69.376274150400008</c:v>
                </c:pt>
                <c:pt idx="25">
                  <c:v>67.960431820800011</c:v>
                </c:pt>
                <c:pt idx="26">
                  <c:v>64.279241763840005</c:v>
                </c:pt>
                <c:pt idx="27">
                  <c:v>62.580230968320002</c:v>
                </c:pt>
                <c:pt idx="28">
                  <c:v>63.712904832</c:v>
                </c:pt>
                <c:pt idx="29">
                  <c:v>63.712904832</c:v>
                </c:pt>
                <c:pt idx="30">
                  <c:v>62.580230968320002</c:v>
                </c:pt>
                <c:pt idx="31">
                  <c:v>61.447557104639998</c:v>
                </c:pt>
                <c:pt idx="32">
                  <c:v>60.598051706880007</c:v>
                </c:pt>
                <c:pt idx="33">
                  <c:v>59.465377843200002</c:v>
                </c:pt>
                <c:pt idx="34">
                  <c:v>60.031714775040001</c:v>
                </c:pt>
                <c:pt idx="35">
                  <c:v>60.31488324096</c:v>
                </c:pt>
                <c:pt idx="36">
                  <c:v>59.182209377280003</c:v>
                </c:pt>
                <c:pt idx="37">
                  <c:v>57.48319858176</c:v>
                </c:pt>
                <c:pt idx="38">
                  <c:v>55.217850854399998</c:v>
                </c:pt>
                <c:pt idx="39">
                  <c:v>53.802008524800002</c:v>
                </c:pt>
                <c:pt idx="40">
                  <c:v>51.53666079744</c:v>
                </c:pt>
                <c:pt idx="41">
                  <c:v>49.554481535999997</c:v>
                </c:pt>
                <c:pt idx="42">
                  <c:v>48.138639206400001</c:v>
                </c:pt>
                <c:pt idx="43">
                  <c:v>46.439628410880005</c:v>
                </c:pt>
                <c:pt idx="44">
                  <c:v>45.023786081280001</c:v>
                </c:pt>
                <c:pt idx="45">
                  <c:v>43.324775285759998</c:v>
                </c:pt>
                <c:pt idx="46">
                  <c:v>42.19210142208</c:v>
                </c:pt>
                <c:pt idx="47">
                  <c:v>40.209922160640005</c:v>
                </c:pt>
                <c:pt idx="48">
                  <c:v>38.510911365120002</c:v>
                </c:pt>
                <c:pt idx="49">
                  <c:v>37.095069035519998</c:v>
                </c:pt>
                <c:pt idx="50">
                  <c:v>35.112889774080003</c:v>
                </c:pt>
                <c:pt idx="51">
                  <c:v>33.697047444479999</c:v>
                </c:pt>
                <c:pt idx="52">
                  <c:v>31.998036648960003</c:v>
                </c:pt>
                <c:pt idx="53">
                  <c:v>30.582194319360003</c:v>
                </c:pt>
                <c:pt idx="54">
                  <c:v>29.449520455680002</c:v>
                </c:pt>
                <c:pt idx="55">
                  <c:v>28.60001505792</c:v>
                </c:pt>
                <c:pt idx="56">
                  <c:v>27.354073807872002</c:v>
                </c:pt>
                <c:pt idx="57">
                  <c:v>26.872687415808002</c:v>
                </c:pt>
                <c:pt idx="58">
                  <c:v>25.796647245312002</c:v>
                </c:pt>
                <c:pt idx="59">
                  <c:v>25.003775540736001</c:v>
                </c:pt>
                <c:pt idx="60">
                  <c:v>23.984369063424001</c:v>
                </c:pt>
                <c:pt idx="61">
                  <c:v>23.418032131584003</c:v>
                </c:pt>
                <c:pt idx="62">
                  <c:v>22.568526733824001</c:v>
                </c:pt>
                <c:pt idx="63">
                  <c:v>21.803971875840002</c:v>
                </c:pt>
                <c:pt idx="64">
                  <c:v>21.181001250815999</c:v>
                </c:pt>
                <c:pt idx="65">
                  <c:v>20.473080086016001</c:v>
                </c:pt>
                <c:pt idx="66">
                  <c:v>19.963376847359999</c:v>
                </c:pt>
                <c:pt idx="67">
                  <c:v>19.170505142784002</c:v>
                </c:pt>
                <c:pt idx="68">
                  <c:v>18.689118750720002</c:v>
                </c:pt>
                <c:pt idx="69">
                  <c:v>18.236049205248001</c:v>
                </c:pt>
                <c:pt idx="70">
                  <c:v>17.669712273407999</c:v>
                </c:pt>
                <c:pt idx="71">
                  <c:v>17.584761733632</c:v>
                </c:pt>
                <c:pt idx="72">
                  <c:v>17.216642727935998</c:v>
                </c:pt>
                <c:pt idx="73">
                  <c:v>17.216642727935998</c:v>
                </c:pt>
                <c:pt idx="74">
                  <c:v>17.499811193856001</c:v>
                </c:pt>
                <c:pt idx="75">
                  <c:v>17.754662813184002</c:v>
                </c:pt>
                <c:pt idx="76">
                  <c:v>18.12278181888</c:v>
                </c:pt>
                <c:pt idx="77">
                  <c:v>18.405950284799999</c:v>
                </c:pt>
                <c:pt idx="78">
                  <c:v>18.519217671168001</c:v>
                </c:pt>
                <c:pt idx="79">
                  <c:v>18.802386137088</c:v>
                </c:pt>
                <c:pt idx="80">
                  <c:v>18.689118750720002</c:v>
                </c:pt>
                <c:pt idx="81">
                  <c:v>18.802386137088</c:v>
                </c:pt>
                <c:pt idx="82">
                  <c:v>18.689118750720002</c:v>
                </c:pt>
                <c:pt idx="83">
                  <c:v>18.320999745024</c:v>
                </c:pt>
                <c:pt idx="84">
                  <c:v>18.12278181888</c:v>
                </c:pt>
                <c:pt idx="85">
                  <c:v>17.867930199551999</c:v>
                </c:pt>
                <c:pt idx="86">
                  <c:v>17.386543807488</c:v>
                </c:pt>
                <c:pt idx="87">
                  <c:v>17.018424801792001</c:v>
                </c:pt>
                <c:pt idx="88">
                  <c:v>16.763573182464</c:v>
                </c:pt>
                <c:pt idx="89">
                  <c:v>16.395454176768002</c:v>
                </c:pt>
                <c:pt idx="90">
                  <c:v>16.055652017664002</c:v>
                </c:pt>
                <c:pt idx="91">
                  <c:v>15.71584985856</c:v>
                </c:pt>
                <c:pt idx="92">
                  <c:v>15.376047699456</c:v>
                </c:pt>
                <c:pt idx="93">
                  <c:v>15.036245540352001</c:v>
                </c:pt>
                <c:pt idx="94">
                  <c:v>14.696443381248001</c:v>
                </c:pt>
                <c:pt idx="95">
                  <c:v>14.384958068736001</c:v>
                </c:pt>
                <c:pt idx="96">
                  <c:v>14.045155909631999</c:v>
                </c:pt>
                <c:pt idx="97">
                  <c:v>13.733670597120001</c:v>
                </c:pt>
                <c:pt idx="98">
                  <c:v>13.422185284608</c:v>
                </c:pt>
                <c:pt idx="99">
                  <c:v>13.195650511872</c:v>
                </c:pt>
                <c:pt idx="100">
                  <c:v>12.88416519936</c:v>
                </c:pt>
                <c:pt idx="101">
                  <c:v>12.657630426624001</c:v>
                </c:pt>
                <c:pt idx="102">
                  <c:v>12.374461960704</c:v>
                </c:pt>
                <c:pt idx="103">
                  <c:v>12.147927187968</c:v>
                </c:pt>
                <c:pt idx="104">
                  <c:v>11.921392415231999</c:v>
                </c:pt>
                <c:pt idx="105">
                  <c:v>11.638223949312</c:v>
                </c:pt>
                <c:pt idx="106">
                  <c:v>11.440006023167999</c:v>
                </c:pt>
                <c:pt idx="107">
                  <c:v>11.156837557248</c:v>
                </c:pt>
                <c:pt idx="108">
                  <c:v>11.015253324288</c:v>
                </c:pt>
                <c:pt idx="109">
                  <c:v>10.817035398144</c:v>
                </c:pt>
                <c:pt idx="110">
                  <c:v>10.533866932224001</c:v>
                </c:pt>
                <c:pt idx="111">
                  <c:v>10.47723323904</c:v>
                </c:pt>
                <c:pt idx="112">
                  <c:v>10.279015312896002</c:v>
                </c:pt>
                <c:pt idx="113">
                  <c:v>10.024163693567999</c:v>
                </c:pt>
                <c:pt idx="114">
                  <c:v>9.8259457674240007</c:v>
                </c:pt>
                <c:pt idx="115">
                  <c:v>9.7409952276479999</c:v>
                </c:pt>
                <c:pt idx="116">
                  <c:v>9.6277278412800005</c:v>
                </c:pt>
                <c:pt idx="117">
                  <c:v>9.4295099151360002</c:v>
                </c:pt>
                <c:pt idx="118">
                  <c:v>9.3728762219519997</c:v>
                </c:pt>
                <c:pt idx="119">
                  <c:v>9.2029751423999997</c:v>
                </c:pt>
                <c:pt idx="120">
                  <c:v>9.0047572162560012</c:v>
                </c:pt>
                <c:pt idx="121">
                  <c:v>8.9481235230719989</c:v>
                </c:pt>
                <c:pt idx="122">
                  <c:v>8.8914898298880001</c:v>
                </c:pt>
                <c:pt idx="123">
                  <c:v>8.8348561367039995</c:v>
                </c:pt>
                <c:pt idx="124">
                  <c:v>8.636638210560001</c:v>
                </c:pt>
                <c:pt idx="125">
                  <c:v>8.5233708241919999</c:v>
                </c:pt>
                <c:pt idx="126">
                  <c:v>8.4667371310079993</c:v>
                </c:pt>
                <c:pt idx="127">
                  <c:v>8.3534697446399999</c:v>
                </c:pt>
                <c:pt idx="128">
                  <c:v>8.2402023582719988</c:v>
                </c:pt>
                <c:pt idx="129">
                  <c:v>8.183568665088</c:v>
                </c:pt>
                <c:pt idx="130">
                  <c:v>8.1269349719039994</c:v>
                </c:pt>
                <c:pt idx="131">
                  <c:v>8.013667585536</c:v>
                </c:pt>
                <c:pt idx="132">
                  <c:v>7.9570338923520003</c:v>
                </c:pt>
                <c:pt idx="133">
                  <c:v>7.9004001991680006</c:v>
                </c:pt>
                <c:pt idx="134">
                  <c:v>7.7304991196159998</c:v>
                </c:pt>
                <c:pt idx="135">
                  <c:v>7.6738654264320001</c:v>
                </c:pt>
                <c:pt idx="136">
                  <c:v>7.5039643468800001</c:v>
                </c:pt>
                <c:pt idx="137">
                  <c:v>7.4756475002880007</c:v>
                </c:pt>
                <c:pt idx="138">
                  <c:v>7.4190138071040002</c:v>
                </c:pt>
              </c:numCache>
            </c:numRef>
          </c:xVal>
          <c:yVal>
            <c:numRef>
              <c:f>Sheet1!$C$2:$C$140</c:f>
              <c:numCache>
                <c:formatCode>General</c:formatCode>
                <c:ptCount val="139"/>
                <c:pt idx="0">
                  <c:v>39.200000000000003</c:v>
                </c:pt>
                <c:pt idx="1">
                  <c:v>50.1</c:v>
                </c:pt>
                <c:pt idx="2">
                  <c:v>78</c:v>
                </c:pt>
                <c:pt idx="3">
                  <c:v>115</c:v>
                </c:pt>
                <c:pt idx="4">
                  <c:v>228</c:v>
                </c:pt>
                <c:pt idx="5">
                  <c:v>468</c:v>
                </c:pt>
                <c:pt idx="6">
                  <c:v>4710</c:v>
                </c:pt>
                <c:pt idx="7">
                  <c:v>9330</c:v>
                </c:pt>
                <c:pt idx="8">
                  <c:v>11300</c:v>
                </c:pt>
                <c:pt idx="9">
                  <c:v>12100</c:v>
                </c:pt>
                <c:pt idx="10">
                  <c:v>12900</c:v>
                </c:pt>
                <c:pt idx="11">
                  <c:v>11900</c:v>
                </c:pt>
                <c:pt idx="12">
                  <c:v>10900</c:v>
                </c:pt>
                <c:pt idx="13">
                  <c:v>9830</c:v>
                </c:pt>
                <c:pt idx="14">
                  <c:v>9040</c:v>
                </c:pt>
                <c:pt idx="15">
                  <c:v>8830</c:v>
                </c:pt>
                <c:pt idx="16">
                  <c:v>8630</c:v>
                </c:pt>
                <c:pt idx="17">
                  <c:v>8430</c:v>
                </c:pt>
                <c:pt idx="18">
                  <c:v>8220</c:v>
                </c:pt>
                <c:pt idx="19">
                  <c:v>8020</c:v>
                </c:pt>
                <c:pt idx="20">
                  <c:v>7820</c:v>
                </c:pt>
                <c:pt idx="21">
                  <c:v>7610</c:v>
                </c:pt>
                <c:pt idx="22">
                  <c:v>7410</c:v>
                </c:pt>
                <c:pt idx="23">
                  <c:v>5930</c:v>
                </c:pt>
                <c:pt idx="24">
                  <c:v>18000</c:v>
                </c:pt>
                <c:pt idx="25">
                  <c:v>16800</c:v>
                </c:pt>
                <c:pt idx="26">
                  <c:v>15600</c:v>
                </c:pt>
                <c:pt idx="27">
                  <c:v>14500</c:v>
                </c:pt>
                <c:pt idx="28">
                  <c:v>13300</c:v>
                </c:pt>
                <c:pt idx="29">
                  <c:v>12100</c:v>
                </c:pt>
                <c:pt idx="30">
                  <c:v>10900</c:v>
                </c:pt>
                <c:pt idx="31">
                  <c:v>9990</c:v>
                </c:pt>
                <c:pt idx="32">
                  <c:v>9430</c:v>
                </c:pt>
                <c:pt idx="33">
                  <c:v>8860</c:v>
                </c:pt>
                <c:pt idx="34">
                  <c:v>8300</c:v>
                </c:pt>
                <c:pt idx="35">
                  <c:v>7730</c:v>
                </c:pt>
                <c:pt idx="36">
                  <c:v>7170</c:v>
                </c:pt>
                <c:pt idx="37">
                  <c:v>6600</c:v>
                </c:pt>
                <c:pt idx="38">
                  <c:v>6250</c:v>
                </c:pt>
                <c:pt idx="39">
                  <c:v>5890</c:v>
                </c:pt>
                <c:pt idx="40">
                  <c:v>5530</c:v>
                </c:pt>
                <c:pt idx="41">
                  <c:v>5170</c:v>
                </c:pt>
                <c:pt idx="42">
                  <c:v>4810</c:v>
                </c:pt>
                <c:pt idx="43">
                  <c:v>4530</c:v>
                </c:pt>
                <c:pt idx="44">
                  <c:v>4250</c:v>
                </c:pt>
                <c:pt idx="45">
                  <c:v>3970</c:v>
                </c:pt>
                <c:pt idx="46">
                  <c:v>3690</c:v>
                </c:pt>
                <c:pt idx="47">
                  <c:v>3410</c:v>
                </c:pt>
                <c:pt idx="48">
                  <c:v>3270</c:v>
                </c:pt>
                <c:pt idx="49">
                  <c:v>3130</c:v>
                </c:pt>
                <c:pt idx="50">
                  <c:v>2980</c:v>
                </c:pt>
                <c:pt idx="51">
                  <c:v>2840</c:v>
                </c:pt>
                <c:pt idx="52">
                  <c:v>2770</c:v>
                </c:pt>
                <c:pt idx="53">
                  <c:v>2690</c:v>
                </c:pt>
                <c:pt idx="54">
                  <c:v>2620</c:v>
                </c:pt>
                <c:pt idx="55">
                  <c:v>2540</c:v>
                </c:pt>
                <c:pt idx="56">
                  <c:v>2470</c:v>
                </c:pt>
                <c:pt idx="57">
                  <c:v>2400</c:v>
                </c:pt>
                <c:pt idx="58">
                  <c:v>2340</c:v>
                </c:pt>
                <c:pt idx="59">
                  <c:v>2280</c:v>
                </c:pt>
                <c:pt idx="60">
                  <c:v>2220</c:v>
                </c:pt>
                <c:pt idx="61">
                  <c:v>2160</c:v>
                </c:pt>
                <c:pt idx="62">
                  <c:v>2100</c:v>
                </c:pt>
                <c:pt idx="63">
                  <c:v>2040</c:v>
                </c:pt>
                <c:pt idx="64">
                  <c:v>1980</c:v>
                </c:pt>
                <c:pt idx="65">
                  <c:v>1940</c:v>
                </c:pt>
                <c:pt idx="66">
                  <c:v>1890</c:v>
                </c:pt>
                <c:pt idx="67">
                  <c:v>1850</c:v>
                </c:pt>
                <c:pt idx="68">
                  <c:v>1810</c:v>
                </c:pt>
                <c:pt idx="69">
                  <c:v>1760</c:v>
                </c:pt>
                <c:pt idx="70">
                  <c:v>1720</c:v>
                </c:pt>
                <c:pt idx="71">
                  <c:v>1670</c:v>
                </c:pt>
                <c:pt idx="72">
                  <c:v>1630</c:v>
                </c:pt>
                <c:pt idx="73">
                  <c:v>1590</c:v>
                </c:pt>
                <c:pt idx="74">
                  <c:v>1540</c:v>
                </c:pt>
                <c:pt idx="75">
                  <c:v>1500</c:v>
                </c:pt>
                <c:pt idx="76">
                  <c:v>1460</c:v>
                </c:pt>
                <c:pt idx="77">
                  <c:v>1410</c:v>
                </c:pt>
                <c:pt idx="78">
                  <c:v>1370</c:v>
                </c:pt>
                <c:pt idx="79">
                  <c:v>1320</c:v>
                </c:pt>
                <c:pt idx="80">
                  <c:v>1280</c:v>
                </c:pt>
                <c:pt idx="81">
                  <c:v>1240</c:v>
                </c:pt>
                <c:pt idx="82">
                  <c:v>1190</c:v>
                </c:pt>
                <c:pt idx="83">
                  <c:v>1150</c:v>
                </c:pt>
                <c:pt idx="84">
                  <c:v>1100</c:v>
                </c:pt>
                <c:pt idx="85">
                  <c:v>1060</c:v>
                </c:pt>
                <c:pt idx="86">
                  <c:v>1020</c:v>
                </c:pt>
                <c:pt idx="87">
                  <c:v>972</c:v>
                </c:pt>
                <c:pt idx="88">
                  <c:v>929</c:v>
                </c:pt>
                <c:pt idx="89">
                  <c:v>902</c:v>
                </c:pt>
                <c:pt idx="90">
                  <c:v>876</c:v>
                </c:pt>
                <c:pt idx="91">
                  <c:v>850</c:v>
                </c:pt>
                <c:pt idx="92">
                  <c:v>824</c:v>
                </c:pt>
                <c:pt idx="93">
                  <c:v>798</c:v>
                </c:pt>
                <c:pt idx="94">
                  <c:v>772</c:v>
                </c:pt>
                <c:pt idx="95">
                  <c:v>746</c:v>
                </c:pt>
                <c:pt idx="96">
                  <c:v>824</c:v>
                </c:pt>
                <c:pt idx="97">
                  <c:v>905</c:v>
                </c:pt>
                <c:pt idx="98">
                  <c:v>986</c:v>
                </c:pt>
                <c:pt idx="99">
                  <c:v>1070</c:v>
                </c:pt>
                <c:pt idx="100">
                  <c:v>1150</c:v>
                </c:pt>
                <c:pt idx="101">
                  <c:v>1230</c:v>
                </c:pt>
                <c:pt idx="102">
                  <c:v>1240</c:v>
                </c:pt>
                <c:pt idx="103">
                  <c:v>1130</c:v>
                </c:pt>
                <c:pt idx="104">
                  <c:v>1110</c:v>
                </c:pt>
                <c:pt idx="105">
                  <c:v>1160</c:v>
                </c:pt>
                <c:pt idx="106">
                  <c:v>1060</c:v>
                </c:pt>
                <c:pt idx="107">
                  <c:v>1020</c:v>
                </c:pt>
                <c:pt idx="108">
                  <c:v>987</c:v>
                </c:pt>
                <c:pt idx="109">
                  <c:v>953</c:v>
                </c:pt>
                <c:pt idx="110">
                  <c:v>918</c:v>
                </c:pt>
                <c:pt idx="111">
                  <c:v>892</c:v>
                </c:pt>
                <c:pt idx="112">
                  <c:v>865</c:v>
                </c:pt>
                <c:pt idx="113">
                  <c:v>839</c:v>
                </c:pt>
                <c:pt idx="114">
                  <c:v>813</c:v>
                </c:pt>
                <c:pt idx="115">
                  <c:v>786</c:v>
                </c:pt>
                <c:pt idx="116">
                  <c:v>760</c:v>
                </c:pt>
                <c:pt idx="117">
                  <c:v>734</c:v>
                </c:pt>
                <c:pt idx="118">
                  <c:v>707</c:v>
                </c:pt>
                <c:pt idx="119">
                  <c:v>687</c:v>
                </c:pt>
                <c:pt idx="120">
                  <c:v>667</c:v>
                </c:pt>
                <c:pt idx="121">
                  <c:v>648</c:v>
                </c:pt>
                <c:pt idx="122">
                  <c:v>629</c:v>
                </c:pt>
                <c:pt idx="123">
                  <c:v>610</c:v>
                </c:pt>
                <c:pt idx="124">
                  <c:v>590</c:v>
                </c:pt>
                <c:pt idx="125">
                  <c:v>571</c:v>
                </c:pt>
                <c:pt idx="126">
                  <c:v>552</c:v>
                </c:pt>
                <c:pt idx="127">
                  <c:v>533</c:v>
                </c:pt>
                <c:pt idx="128">
                  <c:v>513</c:v>
                </c:pt>
                <c:pt idx="129">
                  <c:v>495</c:v>
                </c:pt>
                <c:pt idx="130">
                  <c:v>482</c:v>
                </c:pt>
                <c:pt idx="131">
                  <c:v>468</c:v>
                </c:pt>
                <c:pt idx="132">
                  <c:v>454</c:v>
                </c:pt>
                <c:pt idx="133">
                  <c:v>440</c:v>
                </c:pt>
                <c:pt idx="134">
                  <c:v>427</c:v>
                </c:pt>
                <c:pt idx="135">
                  <c:v>413</c:v>
                </c:pt>
                <c:pt idx="136">
                  <c:v>399</c:v>
                </c:pt>
                <c:pt idx="137">
                  <c:v>385</c:v>
                </c:pt>
                <c:pt idx="138">
                  <c:v>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D-494C-A7D7-31C70B9F6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566976"/>
        <c:axId val="408567304"/>
      </c:scatterChart>
      <c:valAx>
        <c:axId val="40856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67304"/>
        <c:crosses val="autoZero"/>
        <c:crossBetween val="midCat"/>
      </c:valAx>
      <c:valAx>
        <c:axId val="40856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66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19879</xdr:colOff>
      <xdr:row>0</xdr:row>
      <xdr:rowOff>0</xdr:rowOff>
    </xdr:from>
    <xdr:to>
      <xdr:col>16384</xdr:col>
      <xdr:colOff>15958</xdr:colOff>
      <xdr:row>55</xdr:row>
      <xdr:rowOff>104772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879" y="0"/>
          <a:ext cx="7326188" cy="105822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45</xdr:row>
          <xdr:rowOff>28575</xdr:rowOff>
        </xdr:from>
        <xdr:to>
          <xdr:col>9</xdr:col>
          <xdr:colOff>333375</xdr:colOff>
          <xdr:row>49</xdr:row>
          <xdr:rowOff>161925</xdr:rowOff>
        </xdr:to>
        <xdr:sp macro="" textlink="">
          <xdr:nvSpPr>
            <xdr:cNvPr id="1028" name="Image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461962</xdr:colOff>
      <xdr:row>4</xdr:row>
      <xdr:rowOff>80962</xdr:rowOff>
    </xdr:from>
    <xdr:to>
      <xdr:col>7</xdr:col>
      <xdr:colOff>366712</xdr:colOff>
      <xdr:row>18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28575</xdr:colOff>
      <xdr:row>3</xdr:row>
      <xdr:rowOff>171450</xdr:rowOff>
    </xdr:from>
    <xdr:to>
      <xdr:col>31</xdr:col>
      <xdr:colOff>771525</xdr:colOff>
      <xdr:row>18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263338</xdr:colOff>
      <xdr:row>2</xdr:row>
      <xdr:rowOff>71438</xdr:rowOff>
    </xdr:from>
    <xdr:to>
      <xdr:col>27</xdr:col>
      <xdr:colOff>190919</xdr:colOff>
      <xdr:row>16</xdr:row>
      <xdr:rowOff>147638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67237</xdr:colOff>
      <xdr:row>17</xdr:row>
      <xdr:rowOff>190219</xdr:rowOff>
    </xdr:from>
    <xdr:to>
      <xdr:col>28</xdr:col>
      <xdr:colOff>120884</xdr:colOff>
      <xdr:row>32</xdr:row>
      <xdr:rowOff>75919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707372</xdr:colOff>
      <xdr:row>34</xdr:row>
      <xdr:rowOff>21291</xdr:rowOff>
    </xdr:from>
    <xdr:to>
      <xdr:col>21</xdr:col>
      <xdr:colOff>145397</xdr:colOff>
      <xdr:row>48</xdr:row>
      <xdr:rowOff>97491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19051</xdr:colOff>
      <xdr:row>1</xdr:row>
      <xdr:rowOff>9525</xdr:rowOff>
    </xdr:from>
    <xdr:to>
      <xdr:col>10</xdr:col>
      <xdr:colOff>314325</xdr:colOff>
      <xdr:row>15</xdr:row>
      <xdr:rowOff>38532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7</xdr:col>
      <xdr:colOff>314325</xdr:colOff>
      <xdr:row>14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314325</xdr:colOff>
      <xdr:row>0</xdr:row>
      <xdr:rowOff>0</xdr:rowOff>
    </xdr:from>
    <xdr:to>
      <xdr:col>15</xdr:col>
      <xdr:colOff>9525</xdr:colOff>
      <xdr:row>14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7</xdr:col>
      <xdr:colOff>304800</xdr:colOff>
      <xdr:row>29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323850</xdr:colOff>
      <xdr:row>15</xdr:row>
      <xdr:rowOff>0</xdr:rowOff>
    </xdr:from>
    <xdr:to>
      <xdr:col>15</xdr:col>
      <xdr:colOff>19050</xdr:colOff>
      <xdr:row>29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15</xdr:row>
      <xdr:rowOff>0</xdr:rowOff>
    </xdr:from>
    <xdr:to>
      <xdr:col>22</xdr:col>
      <xdr:colOff>304800</xdr:colOff>
      <xdr:row>29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7</xdr:col>
      <xdr:colOff>304800</xdr:colOff>
      <xdr:row>44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30</xdr:row>
      <xdr:rowOff>0</xdr:rowOff>
    </xdr:from>
    <xdr:to>
      <xdr:col>15</xdr:col>
      <xdr:colOff>304800</xdr:colOff>
      <xdr:row>44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D1F066-21BC-425B-B36A-2748FB370938}" name="Table1" displayName="Table1" ref="A1:D1048576" totalsRowShown="0">
  <autoFilter ref="A1:D1048576" xr:uid="{4D2CDD78-26C4-409A-BED3-684379E88293}"/>
  <tableColumns count="4">
    <tableColumn id="1" xr3:uid="{DC0DA65E-66E9-4B08-9A90-45E97BD4680C}" name="Qr"/>
    <tableColumn id="2" xr3:uid="{BFF6C0F8-3079-44C9-B2C7-E45CFA748397}" name="Cr"/>
    <tableColumn id="3" xr3:uid="{6D550F15-CAE6-4AEF-B229-3A73F9791DC1}" name="Qf"/>
    <tableColumn id="4" xr3:uid="{B125D57B-31BC-4E35-B1C9-2AE7E8A5BDC1}" name="Cf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92F825-030D-49BD-8A45-F54EE02423C6}" name="Table2" displayName="Table2" ref="E1:E1048576" totalsRowShown="0">
  <autoFilter ref="E1:E1048576" xr:uid="{F9466B17-1132-4BA6-AE0D-2AFCCD2B37E6}"/>
  <tableColumns count="1">
    <tableColumn id="1" xr3:uid="{71145919-AB46-4D75-8AC9-C24B681A47D1}" name="Delta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BF14C-9836-4BAB-9009-F4C08E4F2C00}" name="Table3" displayName="Table3" ref="F1:M1048576" totalsRowShown="0">
  <autoFilter ref="F1:M1048576" xr:uid="{0E6971F3-7530-4C6E-98E3-F74C5712845C}"/>
  <tableColumns count="8">
    <tableColumn id="1" xr3:uid="{35F55366-7723-413D-8861-BF1A1BBDCD68}" name="Long sequence"/>
    <tableColumn id="2" xr3:uid="{CC70AEF3-6F87-4675-9A3B-E1B19DB2AF8B}" name="Short sequence"/>
    <tableColumn id="3" xr3:uid="{3F23F2DA-99AC-462D-AD02-97C2826A2DE6}" name="Width"/>
    <tableColumn id="4" xr3:uid="{2E613D5B-353D-4C88-B877-1AF923AF50C6}" name="Amp"/>
    <tableColumn id="5" xr3:uid="{286051B7-FC9C-401B-90D1-5A173538BEA3}" name="Ramp"/>
    <tableColumn id="6" xr3:uid="{08DF9006-2069-4058-AA5E-7FD666115561}" name="Class"/>
    <tableColumn id="7" xr3:uid="{89AB9BA2-495A-42BF-8BF7-551C76BDA8AF}" name="Column2"/>
    <tableColumn id="8" xr3:uid="{3CF0828A-2739-4937-BC03-7BB8FA7441D1}" name="Column3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DB9BD4-5D22-47A4-AD1B-EA654FBB684A}" name="Table4" displayName="Table4" ref="N1:W1048576" totalsRowShown="0">
  <autoFilter ref="N1:W1048576" xr:uid="{9CD13942-26FE-4217-B68D-6BAC48D79A81}"/>
  <tableColumns count="10">
    <tableColumn id="1" xr3:uid="{375FEB70-9B22-4D8F-A664-720EFFC27D52}" name="Column1"/>
    <tableColumn id="10" xr3:uid="{E7FBF331-4227-4EEC-A7D6-45AF8A03CB11}" name="Column12"/>
    <tableColumn id="2" xr3:uid="{B9528EAA-C4E5-4FE9-BD71-5594BF374046}" name="Column2"/>
    <tableColumn id="3" xr3:uid="{C143EED6-0AFE-43B8-95C9-A4F4CA1D82DB}" name="Column3"/>
    <tableColumn id="4" xr3:uid="{A091463A-45A9-4047-809D-C10F16122E93}" name="Column4"/>
    <tableColumn id="5" xr3:uid="{F59DE43A-AF0D-4352-9F5F-678E9EEE0A3C}" name="Column5"/>
    <tableColumn id="6" xr3:uid="{F80792AA-E751-4F91-BD29-13A28F2E7256}" name="Column6"/>
    <tableColumn id="7" xr3:uid="{674F3C3E-9C39-498C-845A-7D91B6EE36DB}" name="Column7"/>
    <tableColumn id="8" xr3:uid="{503E9B20-C08F-4405-9C84-82E69F012E92}" name="Column8"/>
    <tableColumn id="9" xr3:uid="{6EE46C55-FCC1-4C26-8AA4-7DA7CF2449D4}" name="Column9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8:BL8"/>
  <sheetViews>
    <sheetView tabSelected="1" zoomScale="115" zoomScaleNormal="115" workbookViewId="0">
      <selection activeCell="E64" sqref="E64"/>
    </sheetView>
  </sheetViews>
  <sheetFormatPr defaultColWidth="0" defaultRowHeight="15" x14ac:dyDescent="0.25"/>
  <cols>
    <col min="1" max="3" width="9.140625" customWidth="1"/>
    <col min="4" max="4" width="12.140625" customWidth="1"/>
    <col min="5" max="11" width="9.140625" customWidth="1"/>
    <col min="12" max="12" width="5.85546875" customWidth="1"/>
    <col min="13" max="16384" width="9.140625" hidden="1"/>
  </cols>
  <sheetData>
    <row r="8" spans="59:64" x14ac:dyDescent="0.25">
      <c r="BG8" t="s">
        <v>63</v>
      </c>
      <c r="BH8">
        <v>15</v>
      </c>
      <c r="BI8">
        <v>-3.7018594142005631E-2</v>
      </c>
      <c r="BJ8">
        <v>0.44468615237828391</v>
      </c>
      <c r="BK8">
        <v>0.29970942845576787</v>
      </c>
      <c r="BL8">
        <v>0.14497672392251601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Image1">
          <controlPr defaultSize="0" autoLine="0" autoPict="0" r:id="rId4">
            <anchor moveWithCells="1">
              <from>
                <xdr:col>2</xdr:col>
                <xdr:colOff>95250</xdr:colOff>
                <xdr:row>45</xdr:row>
                <xdr:rowOff>28575</xdr:rowOff>
              </from>
              <to>
                <xdr:col>9</xdr:col>
                <xdr:colOff>333375</xdr:colOff>
                <xdr:row>49</xdr:row>
                <xdr:rowOff>161925</xdr:rowOff>
              </to>
            </anchor>
          </controlPr>
        </control>
      </mc:Choice>
      <mc:Fallback>
        <control shapeId="1028" r:id="rId3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251"/>
  <sheetViews>
    <sheetView topLeftCell="S236" workbookViewId="0">
      <selection activeCell="V2" sqref="V2:V250"/>
    </sheetView>
  </sheetViews>
  <sheetFormatPr defaultRowHeight="15" x14ac:dyDescent="0.25"/>
  <cols>
    <col min="1" max="1" width="15.140625" style="8" customWidth="1"/>
    <col min="2" max="3" width="9.140625" style="8"/>
    <col min="4" max="9" width="9.140625" style="1" customWidth="1"/>
    <col min="10" max="10" width="15.28515625" style="1" customWidth="1"/>
    <col min="11" max="11" width="15.5703125" style="1" customWidth="1"/>
    <col min="12" max="12" width="14.42578125" style="1" customWidth="1"/>
    <col min="13" max="13" width="14.140625" style="1" customWidth="1"/>
    <col min="14" max="14" width="17.28515625" style="1" customWidth="1"/>
    <col min="15" max="15" width="15.42578125" style="1" customWidth="1"/>
    <col min="16" max="16" width="15" style="1" customWidth="1"/>
    <col min="17" max="17" width="15.5703125" style="1" customWidth="1"/>
    <col min="18" max="18" width="14" style="1" customWidth="1"/>
    <col min="19" max="19" width="19" style="1" customWidth="1"/>
    <col min="20" max="20" width="14.5703125" style="1" customWidth="1"/>
    <col min="21" max="21" width="12.5703125" style="1" customWidth="1"/>
    <col min="22" max="22" width="16.140625" style="1" customWidth="1"/>
    <col min="23" max="23" width="16.85546875" style="1" customWidth="1"/>
    <col min="24" max="24" width="17.5703125" style="1" customWidth="1"/>
    <col min="25" max="25" width="19.42578125" style="1" customWidth="1"/>
    <col min="26" max="26" width="13.7109375" style="1" customWidth="1"/>
    <col min="27" max="27" width="9.140625" style="1" customWidth="1"/>
    <col min="28" max="30" width="9.140625" style="1"/>
    <col min="31" max="32" width="11.7109375" style="1" customWidth="1"/>
    <col min="33" max="33" width="9.140625" style="1"/>
  </cols>
  <sheetData>
    <row r="1" spans="1:41" x14ac:dyDescent="0.25">
      <c r="A1" s="9" t="s">
        <v>0</v>
      </c>
      <c r="B1" s="9" t="s">
        <v>1</v>
      </c>
      <c r="C1" s="10" t="s">
        <v>2</v>
      </c>
      <c r="D1" s="2" t="s">
        <v>67</v>
      </c>
      <c r="E1" s="2" t="s">
        <v>4</v>
      </c>
      <c r="F1" s="2" t="s">
        <v>5</v>
      </c>
      <c r="G1" s="2" t="s">
        <v>68</v>
      </c>
      <c r="H1" s="2" t="s">
        <v>7</v>
      </c>
      <c r="I1" s="2" t="s">
        <v>8</v>
      </c>
      <c r="J1" s="3" t="s">
        <v>69</v>
      </c>
      <c r="K1" s="3" t="s">
        <v>70</v>
      </c>
      <c r="L1" s="3" t="s">
        <v>71</v>
      </c>
      <c r="M1" s="3" t="s">
        <v>72</v>
      </c>
      <c r="N1" s="3" t="s">
        <v>73</v>
      </c>
      <c r="O1" s="3" t="s">
        <v>74</v>
      </c>
      <c r="P1" s="4" t="s">
        <v>75</v>
      </c>
      <c r="Q1" s="4" t="s">
        <v>76</v>
      </c>
      <c r="R1" s="4" t="s">
        <v>77</v>
      </c>
      <c r="S1" s="18" t="s">
        <v>78</v>
      </c>
      <c r="T1" s="18" t="s">
        <v>79</v>
      </c>
      <c r="U1" s="18" t="s">
        <v>80</v>
      </c>
      <c r="V1" s="19" t="s">
        <v>81</v>
      </c>
      <c r="W1" s="5" t="s">
        <v>82</v>
      </c>
      <c r="X1" s="5" t="s">
        <v>83</v>
      </c>
      <c r="Y1" s="14" t="s">
        <v>84</v>
      </c>
      <c r="Z1" s="14" t="s">
        <v>85</v>
      </c>
      <c r="AA1" s="14" t="s">
        <v>44</v>
      </c>
      <c r="AB1" s="15" t="s">
        <v>45</v>
      </c>
      <c r="AC1" s="15" t="s">
        <v>46</v>
      </c>
      <c r="AD1" s="15" t="s">
        <v>47</v>
      </c>
      <c r="AE1" s="6" t="s">
        <v>48</v>
      </c>
      <c r="AF1" s="6" t="s">
        <v>49</v>
      </c>
      <c r="AG1" s="6" t="s">
        <v>9</v>
      </c>
      <c r="AJ1" s="7" t="s">
        <v>3</v>
      </c>
      <c r="AK1" s="7" t="s">
        <v>4</v>
      </c>
      <c r="AL1" s="7" t="s">
        <v>5</v>
      </c>
      <c r="AM1" s="7" t="s">
        <v>6</v>
      </c>
      <c r="AN1" s="7" t="s">
        <v>7</v>
      </c>
      <c r="AO1" s="7" t="s">
        <v>8</v>
      </c>
    </row>
    <row r="2" spans="1:41" x14ac:dyDescent="0.25">
      <c r="A2" s="11">
        <v>42331.177083333336</v>
      </c>
      <c r="B2" s="1">
        <v>4.1908932956160001</v>
      </c>
      <c r="C2" s="1">
        <v>39.200000000000003</v>
      </c>
      <c r="D2" s="1">
        <v>42331.177083333336</v>
      </c>
      <c r="E2" s="1">
        <v>4.1908932956160001</v>
      </c>
      <c r="F2" s="1">
        <v>39.200000000000003</v>
      </c>
      <c r="G2" s="1">
        <v>42332.208333333336</v>
      </c>
      <c r="H2" s="1">
        <v>4.1059427558400001</v>
      </c>
      <c r="I2" s="1">
        <v>101</v>
      </c>
      <c r="J2" s="1">
        <v>42331.177083333336</v>
      </c>
      <c r="K2" s="1">
        <v>4.1908932956160001</v>
      </c>
      <c r="L2" s="1">
        <v>39.200000000000003</v>
      </c>
      <c r="M2" s="1">
        <v>42332.200520833336</v>
      </c>
      <c r="N2" s="1">
        <v>4.1908932956160001</v>
      </c>
      <c r="O2" s="1">
        <v>101.74999999965075</v>
      </c>
      <c r="P2" s="1">
        <v>5.442931341839385</v>
      </c>
      <c r="Q2" s="1">
        <v>73.297231834752935</v>
      </c>
      <c r="R2" s="1">
        <v>78.740163176592318</v>
      </c>
      <c r="S2" s="1">
        <v>42331.177083333336</v>
      </c>
      <c r="T2" s="1">
        <v>4.1908932956160001</v>
      </c>
      <c r="U2" s="1">
        <v>39.200000000000003</v>
      </c>
      <c r="V2" s="1">
        <v>0</v>
      </c>
      <c r="W2" s="1">
        <v>39.200000000000003</v>
      </c>
      <c r="X2" s="1">
        <v>0.20008921336803809</v>
      </c>
      <c r="Y2" s="1">
        <v>5.9099547687719109</v>
      </c>
    </row>
    <row r="3" spans="1:41" x14ac:dyDescent="0.25">
      <c r="A3" s="1">
        <v>42331.1875</v>
      </c>
      <c r="B3" s="1">
        <v>4.2192101422080004</v>
      </c>
      <c r="C3" s="1">
        <v>50.1</v>
      </c>
      <c r="D3" s="1">
        <v>42331.1875</v>
      </c>
      <c r="E3" s="1">
        <v>4.2192101422080004</v>
      </c>
      <c r="F3" s="1">
        <v>50.1</v>
      </c>
      <c r="G3" s="1">
        <v>42332.197916666664</v>
      </c>
      <c r="H3" s="1">
        <v>4.2192101422080004</v>
      </c>
      <c r="I3" s="1">
        <v>102</v>
      </c>
      <c r="J3" s="1">
        <v>42331.217686075499</v>
      </c>
      <c r="K3" s="1">
        <v>7.4501623383552005</v>
      </c>
      <c r="L3" s="1">
        <v>394.46153841769467</v>
      </c>
      <c r="M3" s="1">
        <v>42331.678645833337</v>
      </c>
      <c r="N3" s="1">
        <v>7.4501623383552005</v>
      </c>
      <c r="O3" s="1">
        <v>379.14999998910355</v>
      </c>
      <c r="P3" s="1">
        <v>2.8797162413486612</v>
      </c>
      <c r="Q3" s="1">
        <v>54.266531230080517</v>
      </c>
      <c r="R3" s="1">
        <v>57.146247471429177</v>
      </c>
      <c r="S3" s="1">
        <v>42331.177083333336</v>
      </c>
      <c r="T3" s="1">
        <v>4.1908932956160001</v>
      </c>
      <c r="U3" s="1">
        <v>39.200000000000003</v>
      </c>
      <c r="V3" s="1">
        <v>0.16904945035138572</v>
      </c>
      <c r="W3" s="1">
        <v>379.14999998910355</v>
      </c>
      <c r="X3" s="1">
        <v>1.4895497281292669</v>
      </c>
      <c r="Y3" s="1">
        <v>0</v>
      </c>
    </row>
    <row r="4" spans="1:41" x14ac:dyDescent="0.25">
      <c r="A4" s="1">
        <v>42331.197916666664</v>
      </c>
      <c r="B4" s="1">
        <v>4.445744914944</v>
      </c>
      <c r="C4" s="1">
        <v>78</v>
      </c>
      <c r="D4" s="1">
        <v>42331.197916666664</v>
      </c>
      <c r="E4" s="1">
        <v>4.445744914944</v>
      </c>
      <c r="F4" s="1">
        <v>78</v>
      </c>
      <c r="G4" s="1">
        <v>42332.1875</v>
      </c>
      <c r="H4" s="1">
        <v>4.3041606819839995</v>
      </c>
      <c r="I4" s="1">
        <v>103</v>
      </c>
      <c r="J4" s="1">
        <v>42331.220182880847</v>
      </c>
      <c r="K4" s="1">
        <v>10.709431381094401</v>
      </c>
      <c r="L4" s="1">
        <v>2218.5448003379115</v>
      </c>
      <c r="M4" s="1">
        <v>42331.581180555557</v>
      </c>
      <c r="N4" s="1">
        <v>10.709431381094401</v>
      </c>
      <c r="O4" s="1">
        <v>939.6999999867985</v>
      </c>
      <c r="P4" s="1">
        <v>6.6880798391059724</v>
      </c>
      <c r="Q4" s="1">
        <v>43.051595428937844</v>
      </c>
      <c r="R4" s="1">
        <v>49.739675268043818</v>
      </c>
      <c r="S4" s="1">
        <v>42331.1875</v>
      </c>
      <c r="T4" s="1">
        <v>4.2192101422080004</v>
      </c>
      <c r="U4" s="1">
        <v>50.1</v>
      </c>
      <c r="V4" s="1">
        <v>0.25116773911213419</v>
      </c>
      <c r="W4" s="1">
        <v>939.6999999867985</v>
      </c>
      <c r="X4" s="1">
        <v>4.9809865655784531</v>
      </c>
      <c r="Y4" s="1">
        <v>0</v>
      </c>
    </row>
    <row r="5" spans="1:41" x14ac:dyDescent="0.25">
      <c r="A5" s="1">
        <v>42331.208333333336</v>
      </c>
      <c r="B5" s="1">
        <v>4.8988144604159993</v>
      </c>
      <c r="C5" s="1">
        <v>115</v>
      </c>
      <c r="D5" s="1">
        <v>42331.208333333336</v>
      </c>
      <c r="E5" s="1">
        <v>4.8988144604159993</v>
      </c>
      <c r="F5" s="1">
        <v>115</v>
      </c>
      <c r="G5" s="1">
        <v>42332.177083333336</v>
      </c>
      <c r="H5" s="1">
        <v>4.3324775285759998</v>
      </c>
      <c r="I5" s="1">
        <v>105</v>
      </c>
      <c r="J5" s="1">
        <v>42331.22199126445</v>
      </c>
      <c r="K5" s="1">
        <v>13.968700423833601</v>
      </c>
      <c r="L5" s="1">
        <v>4427.8398177817835</v>
      </c>
      <c r="M5" s="1">
        <v>42331.535574494948</v>
      </c>
      <c r="N5" s="1">
        <v>13.968700423833601</v>
      </c>
      <c r="O5" s="1">
        <v>843.88181820804971</v>
      </c>
      <c r="P5" s="1">
        <v>10.208014660804423</v>
      </c>
      <c r="Q5" s="1">
        <v>42.700122918460913</v>
      </c>
      <c r="R5" s="1">
        <v>52.908137579265336</v>
      </c>
      <c r="S5" s="1">
        <v>42331.197916666664</v>
      </c>
      <c r="T5" s="1">
        <v>4.445744914944</v>
      </c>
      <c r="U5" s="1">
        <v>78</v>
      </c>
      <c r="V5" s="1">
        <v>0.40955929503177824</v>
      </c>
      <c r="W5" s="1">
        <v>843.88181820804971</v>
      </c>
      <c r="X5" s="1">
        <v>8.4626156327167443</v>
      </c>
      <c r="Y5" s="1">
        <v>0</v>
      </c>
    </row>
    <row r="6" spans="1:41" x14ac:dyDescent="0.25">
      <c r="A6" s="1">
        <v>42331.215277777781</v>
      </c>
      <c r="B6" s="1">
        <v>5.9182209377280008</v>
      </c>
      <c r="C6" s="1">
        <v>228</v>
      </c>
      <c r="D6" s="1">
        <v>42331.215277777781</v>
      </c>
      <c r="E6" s="1">
        <v>5.9182209377280008</v>
      </c>
      <c r="F6" s="1">
        <v>228</v>
      </c>
      <c r="G6" s="1">
        <v>42332.166666666664</v>
      </c>
      <c r="H6" s="1">
        <v>4.5023786081280006</v>
      </c>
      <c r="I6" s="1">
        <v>106</v>
      </c>
      <c r="J6" s="1">
        <v>42331.223384259254</v>
      </c>
      <c r="K6" s="1">
        <v>17.227969466572802</v>
      </c>
      <c r="L6" s="1">
        <v>6256.1599956241434</v>
      </c>
      <c r="M6" s="1">
        <v>42331.501495726494</v>
      </c>
      <c r="N6" s="1">
        <v>17.227969466572802</v>
      </c>
      <c r="O6" s="1">
        <v>999.32307692926668</v>
      </c>
      <c r="P6" s="1">
        <v>15.668955870109949</v>
      </c>
      <c r="Q6" s="1">
        <v>183.33309617920702</v>
      </c>
      <c r="R6" s="1">
        <v>199.00205204931697</v>
      </c>
      <c r="S6" s="1">
        <v>42331.208333333336</v>
      </c>
      <c r="T6" s="1">
        <v>4.8988144604159993</v>
      </c>
      <c r="U6" s="1">
        <v>115</v>
      </c>
      <c r="V6" s="1">
        <v>0.57381541109174816</v>
      </c>
      <c r="W6" s="1">
        <v>999.32307692926668</v>
      </c>
      <c r="X6" s="1">
        <v>12.389875409530863</v>
      </c>
      <c r="Y6" s="1">
        <v>2.8421709430404007E-14</v>
      </c>
    </row>
    <row r="7" spans="1:41" x14ac:dyDescent="0.25">
      <c r="A7" s="1">
        <v>42331.21875</v>
      </c>
      <c r="B7" s="1">
        <v>8.1269349719039994</v>
      </c>
      <c r="C7" s="1">
        <v>468</v>
      </c>
      <c r="D7" s="1">
        <v>42331.21875</v>
      </c>
      <c r="E7" s="1">
        <v>8.1269349719039994</v>
      </c>
      <c r="F7" s="1">
        <v>468</v>
      </c>
      <c r="G7" s="1">
        <v>42332.15625</v>
      </c>
      <c r="H7" s="1">
        <v>4.5590123013120003</v>
      </c>
      <c r="I7" s="1">
        <v>107</v>
      </c>
      <c r="J7" s="1">
        <v>42331.224716435187</v>
      </c>
      <c r="K7" s="1">
        <v>20.487238509312</v>
      </c>
      <c r="L7" s="1">
        <v>8028.7000022750581</v>
      </c>
      <c r="M7" s="1">
        <v>42331.42701388889</v>
      </c>
      <c r="N7" s="1">
        <v>20.487238509312</v>
      </c>
      <c r="O7" s="1">
        <v>1940.8000000184402</v>
      </c>
      <c r="P7" s="1">
        <v>22.250823504176143</v>
      </c>
      <c r="Q7" s="1">
        <v>62.846239636552347</v>
      </c>
      <c r="R7" s="1">
        <v>85.097063140728494</v>
      </c>
      <c r="S7" s="1">
        <v>42331.215277777781</v>
      </c>
      <c r="T7" s="1">
        <v>5.9182209377280008</v>
      </c>
      <c r="U7" s="1">
        <v>228</v>
      </c>
      <c r="V7" s="1">
        <v>0.77291399037812625</v>
      </c>
      <c r="W7" s="1">
        <v>1940.8000000184402</v>
      </c>
      <c r="X7" s="1">
        <v>17.017170729786798</v>
      </c>
      <c r="Y7" s="1">
        <v>7.1054273576010019E-15</v>
      </c>
    </row>
    <row r="8" spans="1:41" x14ac:dyDescent="0.25">
      <c r="A8" s="1">
        <v>42331.222222222219</v>
      </c>
      <c r="B8" s="1">
        <v>14.384958068736001</v>
      </c>
      <c r="C8" s="1">
        <v>4710</v>
      </c>
      <c r="D8" s="1">
        <v>42331.222222222219</v>
      </c>
      <c r="E8" s="1">
        <v>14.384958068736001</v>
      </c>
      <c r="F8" s="1">
        <v>4710</v>
      </c>
      <c r="G8" s="1">
        <v>42332.145833333336</v>
      </c>
      <c r="H8" s="1">
        <v>4.6439628410880003</v>
      </c>
      <c r="I8" s="1">
        <v>108</v>
      </c>
      <c r="J8" s="1">
        <v>42331.226034989319</v>
      </c>
      <c r="K8" s="1">
        <v>23.746507552051199</v>
      </c>
      <c r="L8" s="1">
        <v>9523.211539509437</v>
      </c>
      <c r="M8" s="1">
        <v>42331.411180555551</v>
      </c>
      <c r="N8" s="1">
        <v>23.746507552051199</v>
      </c>
      <c r="O8" s="1">
        <v>2194.8000000477768</v>
      </c>
      <c r="P8" s="1">
        <v>27.831582313513419</v>
      </c>
      <c r="Q8" s="1">
        <v>65.125531343547948</v>
      </c>
      <c r="R8" s="1">
        <v>92.95711365706137</v>
      </c>
      <c r="S8" s="1">
        <v>42331.21875</v>
      </c>
      <c r="T8" s="1">
        <v>8.1269349719039994</v>
      </c>
      <c r="U8" s="1">
        <v>468</v>
      </c>
      <c r="V8" s="1">
        <v>10.733483700593309</v>
      </c>
      <c r="W8" s="1">
        <v>2194.8000000477768</v>
      </c>
      <c r="X8" s="1">
        <v>21.332010415085769</v>
      </c>
      <c r="Y8" s="1">
        <v>0</v>
      </c>
    </row>
    <row r="9" spans="1:41" x14ac:dyDescent="0.25">
      <c r="A9" s="1">
        <v>42331.225694444445</v>
      </c>
      <c r="B9" s="1">
        <v>22.880012046335999</v>
      </c>
      <c r="C9" s="1">
        <v>9330</v>
      </c>
      <c r="D9" s="1">
        <v>42331.225694444445</v>
      </c>
      <c r="E9" s="1">
        <v>22.880012046335999</v>
      </c>
      <c r="F9" s="1">
        <v>9330</v>
      </c>
      <c r="G9" s="1">
        <v>42332.135416666664</v>
      </c>
      <c r="H9" s="1">
        <v>4.7289133808640003</v>
      </c>
      <c r="I9" s="1">
        <v>109</v>
      </c>
      <c r="J9" s="1">
        <v>42331.227315927703</v>
      </c>
      <c r="K9" s="1">
        <v>27.005776594790397</v>
      </c>
      <c r="L9" s="1">
        <v>10249.964741901462</v>
      </c>
      <c r="M9" s="1">
        <v>42331.398345588233</v>
      </c>
      <c r="N9" s="1">
        <v>27.005776594790397</v>
      </c>
      <c r="O9" s="1">
        <v>2419.3529412144358</v>
      </c>
      <c r="P9" s="1">
        <v>33.701010410498064</v>
      </c>
      <c r="Q9" s="1">
        <v>75.494018827514182</v>
      </c>
      <c r="R9" s="1">
        <v>109.19502923801224</v>
      </c>
      <c r="S9" s="1">
        <v>42331.222222222219</v>
      </c>
      <c r="T9" s="1">
        <v>14.384958068736001</v>
      </c>
      <c r="U9" s="1">
        <v>4710</v>
      </c>
      <c r="V9" s="1">
        <v>42.183549783517329</v>
      </c>
      <c r="W9" s="1">
        <v>2419.3529412144358</v>
      </c>
      <c r="X9" s="1">
        <v>25.613227632200552</v>
      </c>
      <c r="Y9" s="1">
        <v>0</v>
      </c>
    </row>
    <row r="10" spans="1:41" x14ac:dyDescent="0.25">
      <c r="A10" s="1">
        <v>42331.229166666664</v>
      </c>
      <c r="B10" s="1">
        <v>31.714868183040004</v>
      </c>
      <c r="C10" s="1">
        <v>11300</v>
      </c>
      <c r="D10" s="1">
        <v>42331.229166666664</v>
      </c>
      <c r="E10" s="1">
        <v>31.714868183040004</v>
      </c>
      <c r="F10" s="1">
        <v>11300</v>
      </c>
      <c r="G10" s="1">
        <v>42332.125</v>
      </c>
      <c r="H10" s="1">
        <v>4.7855470740480008</v>
      </c>
      <c r="I10" s="1">
        <v>110</v>
      </c>
      <c r="J10" s="1">
        <v>42331.228596866094</v>
      </c>
      <c r="K10" s="1">
        <v>30.265045637529596</v>
      </c>
      <c r="L10" s="1">
        <v>10976.717948421574</v>
      </c>
      <c r="M10" s="1">
        <v>42331.386388888888</v>
      </c>
      <c r="N10" s="1">
        <v>30.265045637529596</v>
      </c>
      <c r="O10" s="1">
        <v>2670.3999999882653</v>
      </c>
      <c r="P10" s="1">
        <v>42.202869559698499</v>
      </c>
      <c r="Q10" s="1">
        <v>57.439464277599768</v>
      </c>
      <c r="R10" s="1">
        <v>99.642333837298267</v>
      </c>
      <c r="S10" s="1">
        <v>42331.225694444445</v>
      </c>
      <c r="T10" s="1">
        <v>22.880012046335999</v>
      </c>
      <c r="U10" s="1">
        <v>9330</v>
      </c>
      <c r="V10" s="1">
        <v>85.777278349213731</v>
      </c>
      <c r="W10" s="1">
        <v>2670.3999999882653</v>
      </c>
      <c r="X10" s="1">
        <v>31.858047998387114</v>
      </c>
      <c r="Y10" s="1">
        <v>7.1054273576010019E-15</v>
      </c>
    </row>
    <row r="11" spans="1:41" x14ac:dyDescent="0.25">
      <c r="A11" s="1">
        <v>42331.232638888891</v>
      </c>
      <c r="B11" s="1">
        <v>39.643585228799999</v>
      </c>
      <c r="C11" s="1">
        <v>12100</v>
      </c>
      <c r="D11" s="1">
        <v>42331.232638888891</v>
      </c>
      <c r="E11" s="1">
        <v>39.643585228799999</v>
      </c>
      <c r="F11" s="1">
        <v>12100</v>
      </c>
      <c r="G11" s="1">
        <v>42332.118055555555</v>
      </c>
      <c r="H11" s="1">
        <v>5.0687155399680002</v>
      </c>
      <c r="I11" s="1">
        <v>111</v>
      </c>
      <c r="J11" s="1">
        <v>42331.229959077376</v>
      </c>
      <c r="K11" s="1">
        <v>33.524314680268795</v>
      </c>
      <c r="L11" s="1">
        <v>11482.571427870342</v>
      </c>
      <c r="M11" s="1">
        <v>42331.378825231477</v>
      </c>
      <c r="N11" s="1">
        <v>33.524314680268795</v>
      </c>
      <c r="O11" s="1">
        <v>2832.8833333648704</v>
      </c>
      <c r="P11" s="1">
        <v>50.52553009515232</v>
      </c>
      <c r="Q11" s="1">
        <v>61.02967146445679</v>
      </c>
      <c r="R11" s="1">
        <v>111.55520155960912</v>
      </c>
      <c r="S11" s="1">
        <v>42331.229166666664</v>
      </c>
      <c r="T11" s="1">
        <v>31.714868183040004</v>
      </c>
      <c r="U11" s="1">
        <v>11300</v>
      </c>
      <c r="V11" s="1">
        <v>125.70980890687029</v>
      </c>
      <c r="W11" s="1">
        <v>2832.8833333648704</v>
      </c>
      <c r="X11" s="1">
        <v>37.623885863032591</v>
      </c>
      <c r="Y11" s="1">
        <v>0</v>
      </c>
    </row>
    <row r="12" spans="1:41" x14ac:dyDescent="0.25">
      <c r="A12" s="1">
        <v>42331.236111111109</v>
      </c>
      <c r="B12" s="1">
        <v>45.3069545472</v>
      </c>
      <c r="C12" s="1">
        <v>12900</v>
      </c>
      <c r="D12" s="1">
        <v>42331.236111111109</v>
      </c>
      <c r="E12" s="1">
        <v>45.3069545472</v>
      </c>
      <c r="F12" s="1">
        <v>12900</v>
      </c>
      <c r="G12" s="1">
        <v>42332.114583333336</v>
      </c>
      <c r="H12" s="1">
        <v>4.9837650001920002</v>
      </c>
      <c r="I12" s="1">
        <v>115</v>
      </c>
      <c r="J12" s="1">
        <v>42331.231386408734</v>
      </c>
      <c r="K12" s="1">
        <v>36.783583723007993</v>
      </c>
      <c r="L12" s="1">
        <v>11811.428572200904</v>
      </c>
      <c r="M12" s="1">
        <v>42331.372073412698</v>
      </c>
      <c r="N12" s="1">
        <v>36.783583723007993</v>
      </c>
      <c r="O12" s="1">
        <v>3106.4285715543001</v>
      </c>
      <c r="P12" s="1">
        <v>59.588010385075414</v>
      </c>
      <c r="Q12" s="1">
        <v>77.285788700498458</v>
      </c>
      <c r="R12" s="1">
        <v>136.87379908557386</v>
      </c>
      <c r="S12" s="1">
        <v>42331.232638888891</v>
      </c>
      <c r="T12" s="1">
        <v>39.643585228799999</v>
      </c>
      <c r="U12" s="1">
        <v>12100</v>
      </c>
      <c r="V12" s="1">
        <v>159.62206409044435</v>
      </c>
      <c r="W12" s="1">
        <v>3106.4285715543001</v>
      </c>
      <c r="X12" s="1">
        <v>43.400628474142806</v>
      </c>
      <c r="Y12" s="1">
        <v>0</v>
      </c>
    </row>
    <row r="13" spans="1:41" x14ac:dyDescent="0.25">
      <c r="A13" s="1">
        <v>42331.239583333336</v>
      </c>
      <c r="B13" s="1">
        <v>47.855470740480001</v>
      </c>
      <c r="C13" s="1">
        <v>11900</v>
      </c>
      <c r="D13" s="1">
        <v>42331.239583333336</v>
      </c>
      <c r="E13" s="1">
        <v>47.855470740480001</v>
      </c>
      <c r="F13" s="1">
        <v>11900</v>
      </c>
      <c r="G13" s="1">
        <v>42332.107638888891</v>
      </c>
      <c r="H13" s="1">
        <v>5.0687155399680002</v>
      </c>
      <c r="I13" s="1">
        <v>122</v>
      </c>
      <c r="J13" s="1">
        <v>42331.232883680554</v>
      </c>
      <c r="K13" s="1">
        <v>40.042852765747192</v>
      </c>
      <c r="L13" s="1">
        <v>12156.399999238924</v>
      </c>
      <c r="M13" s="1">
        <v>42331.364924768517</v>
      </c>
      <c r="N13" s="1">
        <v>40.042852765747192</v>
      </c>
      <c r="O13" s="1">
        <v>3396.2333334761051</v>
      </c>
      <c r="P13" s="1">
        <v>89.183319772788565</v>
      </c>
      <c r="Q13" s="1">
        <v>95.913567029206021</v>
      </c>
      <c r="R13" s="1">
        <v>185.09688680199457</v>
      </c>
      <c r="S13" s="1">
        <v>42331.236111111109</v>
      </c>
      <c r="T13" s="1">
        <v>45.3069545472</v>
      </c>
      <c r="U13" s="1">
        <v>12900</v>
      </c>
      <c r="V13" s="1">
        <v>173.09097252209324</v>
      </c>
      <c r="W13" s="1">
        <v>3396.2333334761051</v>
      </c>
      <c r="X13" s="1">
        <v>62.624414593048677</v>
      </c>
      <c r="Y13" s="1">
        <v>1.4210854715202004E-14</v>
      </c>
    </row>
    <row r="14" spans="1:41" x14ac:dyDescent="0.25">
      <c r="A14" s="1">
        <v>42331.243055555555</v>
      </c>
      <c r="B14" s="1">
        <v>48.704976138240006</v>
      </c>
      <c r="C14" s="1">
        <v>10900</v>
      </c>
      <c r="D14" s="1">
        <v>42331.243055555555</v>
      </c>
      <c r="E14" s="1">
        <v>48.704976138240006</v>
      </c>
      <c r="F14" s="1">
        <v>10900</v>
      </c>
      <c r="G14" s="1">
        <v>42332.104166666664</v>
      </c>
      <c r="H14" s="1">
        <v>5.0970323865600005</v>
      </c>
      <c r="I14" s="1">
        <v>126</v>
      </c>
      <c r="J14" s="1">
        <v>42331.234881944445</v>
      </c>
      <c r="K14" s="1">
        <v>43.30212180848639</v>
      </c>
      <c r="L14" s="1">
        <v>12616.800000254811</v>
      </c>
      <c r="M14" s="1">
        <v>42331.357708333337</v>
      </c>
      <c r="N14" s="1">
        <v>43.30212180848639</v>
      </c>
      <c r="O14" s="1">
        <v>3964.3999998591839</v>
      </c>
      <c r="P14" s="1">
        <v>142.68037803616988</v>
      </c>
      <c r="Q14" s="1">
        <v>120.33076935914681</v>
      </c>
      <c r="R14" s="1">
        <v>263.0111473953167</v>
      </c>
      <c r="S14" s="1">
        <v>42331.239583333336</v>
      </c>
      <c r="T14" s="1">
        <v>47.855470740480001</v>
      </c>
      <c r="U14" s="1">
        <v>11900</v>
      </c>
      <c r="V14" s="1">
        <v>165.05465110406007</v>
      </c>
      <c r="W14" s="1">
        <v>3964.3999998591839</v>
      </c>
      <c r="X14" s="1">
        <v>93.998352125687859</v>
      </c>
      <c r="Y14" s="1">
        <v>-1.4210854715202004E-14</v>
      </c>
    </row>
    <row r="15" spans="1:41" x14ac:dyDescent="0.25">
      <c r="A15" s="1">
        <v>42331.246527777781</v>
      </c>
      <c r="B15" s="1">
        <v>47.855470740480001</v>
      </c>
      <c r="C15" s="1">
        <v>9830</v>
      </c>
      <c r="D15" s="1">
        <v>42331.246527777781</v>
      </c>
      <c r="E15" s="1">
        <v>47.855470740480001</v>
      </c>
      <c r="F15" s="1">
        <v>9830</v>
      </c>
      <c r="G15" s="1">
        <v>42332.100694444445</v>
      </c>
      <c r="H15" s="1">
        <v>5.0687155399680002</v>
      </c>
      <c r="I15" s="1">
        <v>129</v>
      </c>
      <c r="J15" s="1">
        <v>42331.237820216047</v>
      </c>
      <c r="K15" s="1">
        <v>46.561390851225589</v>
      </c>
      <c r="L15" s="1">
        <v>12407.777778539134</v>
      </c>
      <c r="M15" s="1">
        <v>42331.350445601849</v>
      </c>
      <c r="N15" s="1">
        <v>46.561390851225589</v>
      </c>
      <c r="O15" s="1">
        <v>4550.0666669336306</v>
      </c>
      <c r="P15" s="1">
        <v>1397.0135224874175</v>
      </c>
      <c r="Q15" s="1">
        <v>145.98352875773756</v>
      </c>
      <c r="R15" s="1">
        <v>1542.997051245155</v>
      </c>
      <c r="S15" s="1">
        <v>42331.243055555555</v>
      </c>
      <c r="T15" s="1">
        <v>48.704976138240006</v>
      </c>
      <c r="U15" s="1">
        <v>10900</v>
      </c>
      <c r="V15" s="1">
        <v>150.19552776771079</v>
      </c>
      <c r="W15" s="1">
        <v>4550.0666669336306</v>
      </c>
      <c r="X15" s="1">
        <v>714.58869204154951</v>
      </c>
      <c r="Y15" s="1">
        <v>0</v>
      </c>
    </row>
    <row r="16" spans="1:41" x14ac:dyDescent="0.25">
      <c r="A16" s="1">
        <v>42331.25</v>
      </c>
      <c r="B16" s="1">
        <v>47.005965342720003</v>
      </c>
      <c r="C16" s="1">
        <v>9040</v>
      </c>
      <c r="D16" s="1">
        <v>42331.25</v>
      </c>
      <c r="E16" s="1">
        <v>47.005965342720003</v>
      </c>
      <c r="F16" s="1">
        <v>9040</v>
      </c>
      <c r="G16" s="1">
        <v>42332.09375</v>
      </c>
      <c r="H16" s="1">
        <v>5.0970323865600005</v>
      </c>
      <c r="I16" s="1">
        <v>135</v>
      </c>
      <c r="J16" s="1">
        <v>42331.271299603177</v>
      </c>
      <c r="K16" s="1">
        <v>49.820659893964788</v>
      </c>
      <c r="L16" s="1">
        <v>7791.7999999823978</v>
      </c>
      <c r="M16" s="1">
        <v>42331.343283730159</v>
      </c>
      <c r="N16" s="1">
        <v>49.820659893964788</v>
      </c>
      <c r="O16" s="1">
        <v>5218.3428571730319</v>
      </c>
      <c r="P16" s="1">
        <v>122.81934496686918</v>
      </c>
      <c r="Q16" s="1">
        <v>131.46051708142073</v>
      </c>
      <c r="R16" s="1">
        <v>254.27986204828991</v>
      </c>
      <c r="S16" s="1">
        <v>42331.246527777781</v>
      </c>
      <c r="T16" s="1">
        <v>47.855470740480001</v>
      </c>
      <c r="U16" s="1">
        <v>9830</v>
      </c>
      <c r="V16" s="1">
        <v>134.30298048648669</v>
      </c>
      <c r="W16" s="1">
        <v>5218.3428571730319</v>
      </c>
      <c r="X16" s="1">
        <v>34.778128949572633</v>
      </c>
      <c r="Y16" s="1">
        <v>0</v>
      </c>
    </row>
    <row r="17" spans="1:25" x14ac:dyDescent="0.25">
      <c r="A17" s="1">
        <v>42331.253472222219</v>
      </c>
      <c r="B17" s="1">
        <v>47.855470740480001</v>
      </c>
      <c r="C17" s="1">
        <v>8830</v>
      </c>
      <c r="D17" s="1">
        <v>42331.253472222219</v>
      </c>
      <c r="E17" s="1">
        <v>47.855470740480001</v>
      </c>
      <c r="F17" s="1">
        <v>8830</v>
      </c>
      <c r="G17" s="1">
        <v>42332.090277777781</v>
      </c>
      <c r="H17" s="1">
        <v>5.2386166195200001</v>
      </c>
      <c r="I17" s="1">
        <v>137</v>
      </c>
      <c r="J17" s="1">
        <v>42331.274896918403</v>
      </c>
      <c r="K17" s="1">
        <v>53.079928936703986</v>
      </c>
      <c r="L17" s="1">
        <v>7575.9374999744614</v>
      </c>
      <c r="M17" s="1">
        <v>42331.337912326388</v>
      </c>
      <c r="N17" s="1">
        <v>53.079928936703986</v>
      </c>
      <c r="O17" s="1">
        <v>5775.250000183878</v>
      </c>
      <c r="P17" s="1">
        <v>44.505909376330749</v>
      </c>
      <c r="Q17" s="1">
        <v>181.85490370443824</v>
      </c>
      <c r="R17" s="1">
        <v>226.36081308076899</v>
      </c>
      <c r="S17" s="1">
        <v>42331.25</v>
      </c>
      <c r="T17" s="1">
        <v>47.005965342720003</v>
      </c>
      <c r="U17" s="1">
        <v>9040</v>
      </c>
      <c r="V17" s="1">
        <v>127.12465988210003</v>
      </c>
      <c r="W17" s="1">
        <v>5775.250000183878</v>
      </c>
      <c r="X17" s="1">
        <v>8.4419889636230536</v>
      </c>
      <c r="Y17" s="1">
        <v>0</v>
      </c>
    </row>
    <row r="18" spans="1:25" x14ac:dyDescent="0.25">
      <c r="A18" s="1">
        <v>42331.256944444445</v>
      </c>
      <c r="B18" s="1">
        <v>48.138639206400001</v>
      </c>
      <c r="C18" s="1">
        <v>8630</v>
      </c>
      <c r="D18" s="1">
        <v>42331.256944444445</v>
      </c>
      <c r="E18" s="1">
        <v>48.138639206400001</v>
      </c>
      <c r="F18" s="1">
        <v>8630</v>
      </c>
      <c r="G18" s="1">
        <v>42332.086805555555</v>
      </c>
      <c r="H18" s="1">
        <v>5.1819829263359996</v>
      </c>
      <c r="I18" s="1">
        <v>137</v>
      </c>
      <c r="J18" s="1">
        <v>42331.276145833333</v>
      </c>
      <c r="K18" s="1">
        <v>56.339197979443185</v>
      </c>
      <c r="L18" s="1">
        <v>7504.0000000712462</v>
      </c>
      <c r="M18" s="1">
        <v>42331.331614583331</v>
      </c>
      <c r="N18" s="1">
        <v>56.339197979443185</v>
      </c>
      <c r="O18" s="1">
        <v>6423.2500003263704</v>
      </c>
      <c r="P18" s="1">
        <v>46.707699055190865</v>
      </c>
      <c r="Q18" s="1">
        <v>225.11207893006937</v>
      </c>
      <c r="R18" s="1">
        <v>271.81977798526026</v>
      </c>
      <c r="S18" s="1">
        <v>42331.253472222219</v>
      </c>
      <c r="T18" s="1">
        <v>47.855470740480001</v>
      </c>
      <c r="U18" s="1">
        <v>8830</v>
      </c>
      <c r="V18" s="1">
        <v>125.7000395947847</v>
      </c>
      <c r="W18" s="1">
        <v>6423.2500003263704</v>
      </c>
      <c r="X18" s="1">
        <v>3.4660430051982232</v>
      </c>
      <c r="Y18" s="1">
        <v>2.8421709430404007E-14</v>
      </c>
    </row>
    <row r="19" spans="1:25" x14ac:dyDescent="0.25">
      <c r="A19" s="1">
        <v>42331.260416666664</v>
      </c>
      <c r="B19" s="1">
        <v>48.704976138240006</v>
      </c>
      <c r="C19" s="1">
        <v>8430</v>
      </c>
      <c r="D19" s="1">
        <v>42331.260416666664</v>
      </c>
      <c r="E19" s="1">
        <v>48.704976138240006</v>
      </c>
      <c r="F19" s="1">
        <v>8430</v>
      </c>
      <c r="G19" s="1">
        <v>42332.083333333336</v>
      </c>
      <c r="H19" s="1">
        <v>5.0687155399680002</v>
      </c>
      <c r="I19" s="1">
        <v>135</v>
      </c>
      <c r="J19" s="1">
        <v>42331.277394748264</v>
      </c>
      <c r="K19" s="1">
        <v>59.598467022182383</v>
      </c>
      <c r="L19" s="1">
        <v>7432.062500168031</v>
      </c>
      <c r="M19" s="1">
        <v>42331.325112847226</v>
      </c>
      <c r="N19" s="1">
        <v>59.598467022182383</v>
      </c>
      <c r="O19" s="1">
        <v>7375.7999994631391</v>
      </c>
      <c r="P19" s="1">
        <v>72.040863661913392</v>
      </c>
      <c r="Q19" s="1">
        <v>1007.8876920074264</v>
      </c>
      <c r="R19" s="1">
        <v>1079.9285556693399</v>
      </c>
      <c r="S19" s="1">
        <v>42331.256944444445</v>
      </c>
      <c r="T19" s="1">
        <v>48.138639206400001</v>
      </c>
      <c r="U19" s="1">
        <v>8630</v>
      </c>
      <c r="V19" s="1">
        <v>123.90291066409571</v>
      </c>
      <c r="W19" s="1">
        <v>7375.7999994631391</v>
      </c>
      <c r="X19" s="1">
        <v>0.27846935903873771</v>
      </c>
      <c r="Y19" s="1">
        <v>246.05865381415367</v>
      </c>
    </row>
    <row r="20" spans="1:25" x14ac:dyDescent="0.25">
      <c r="A20" s="1">
        <v>42331.263888888891</v>
      </c>
      <c r="B20" s="1">
        <v>47.855470740480001</v>
      </c>
      <c r="C20" s="1">
        <v>8220</v>
      </c>
      <c r="D20" s="1">
        <v>42331.263888888891</v>
      </c>
      <c r="E20" s="1">
        <v>47.855470740480001</v>
      </c>
      <c r="F20" s="1">
        <v>8220</v>
      </c>
      <c r="G20" s="1">
        <v>42332.079861111109</v>
      </c>
      <c r="H20" s="1">
        <v>5.2386166195200001</v>
      </c>
      <c r="I20" s="1">
        <v>132</v>
      </c>
      <c r="J20" s="1">
        <v>42331.279317129629</v>
      </c>
      <c r="K20" s="1">
        <v>62.857736064921582</v>
      </c>
      <c r="L20" s="1">
        <v>6753.8666677417859</v>
      </c>
      <c r="M20" s="1">
        <v>42331.304704861112</v>
      </c>
      <c r="N20" s="1">
        <v>62.857736064921582</v>
      </c>
      <c r="O20" s="1">
        <v>11193.999999849126</v>
      </c>
      <c r="P20" s="1">
        <v>91.436004413785241</v>
      </c>
      <c r="Q20" s="1">
        <v>1132.474496878011</v>
      </c>
      <c r="R20" s="1">
        <v>1223.9105012917962</v>
      </c>
      <c r="S20" s="1">
        <v>42331.260416666664</v>
      </c>
      <c r="T20" s="1">
        <v>48.704976138240006</v>
      </c>
      <c r="U20" s="1">
        <v>8430</v>
      </c>
      <c r="V20" s="1">
        <v>120.59323789020534</v>
      </c>
      <c r="W20" s="1">
        <v>6753.8666677417859</v>
      </c>
      <c r="X20" s="1">
        <v>-1.4210854715202004E-14</v>
      </c>
      <c r="Y20" s="1">
        <v>553.00143830726597</v>
      </c>
    </row>
    <row r="21" spans="1:25" x14ac:dyDescent="0.25">
      <c r="A21" s="1">
        <v>42331.267361111109</v>
      </c>
      <c r="B21" s="1">
        <v>49.554481535999997</v>
      </c>
      <c r="C21" s="1">
        <v>8020</v>
      </c>
      <c r="D21" s="1">
        <v>42331.267361111109</v>
      </c>
      <c r="E21" s="1">
        <v>49.554481535999997</v>
      </c>
      <c r="F21" s="1">
        <v>8020</v>
      </c>
      <c r="G21" s="1">
        <v>42332.076388888891</v>
      </c>
      <c r="H21" s="1">
        <v>5.4651513922559998</v>
      </c>
      <c r="I21" s="1">
        <v>130</v>
      </c>
      <c r="J21" s="1">
        <v>42331.281647970085</v>
      </c>
      <c r="K21" s="1">
        <v>66.117005107660788</v>
      </c>
      <c r="L21" s="1">
        <v>7313.4076920742245</v>
      </c>
      <c r="M21" s="1">
        <v>42331.289933226493</v>
      </c>
      <c r="N21" s="1">
        <v>66.117005107660788</v>
      </c>
      <c r="O21" s="1">
        <v>16199.076923633997</v>
      </c>
      <c r="P21" s="1">
        <v>230.06456451222579</v>
      </c>
      <c r="Q21" s="1">
        <v>522.22433210577685</v>
      </c>
      <c r="R21" s="1">
        <v>752.28889661800258</v>
      </c>
      <c r="S21" s="1">
        <v>42331.263888888891</v>
      </c>
      <c r="T21" s="1">
        <v>47.855470740480001</v>
      </c>
      <c r="U21" s="1">
        <v>8220</v>
      </c>
      <c r="V21" s="1">
        <v>118.6198366003465</v>
      </c>
      <c r="W21" s="1">
        <v>7313.4076920742245</v>
      </c>
      <c r="X21" s="1">
        <v>2.8421709430404007E-14</v>
      </c>
      <c r="Y21" s="1">
        <v>132.25390131392089</v>
      </c>
    </row>
    <row r="22" spans="1:25" x14ac:dyDescent="0.25">
      <c r="A22" s="1">
        <v>42331.270833333336</v>
      </c>
      <c r="B22" s="1">
        <v>49.554481535999997</v>
      </c>
      <c r="C22" s="1">
        <v>7820</v>
      </c>
      <c r="D22" s="1">
        <v>42331.270833333336</v>
      </c>
      <c r="E22" s="1">
        <v>49.554481535999997</v>
      </c>
      <c r="F22" s="1">
        <v>7820</v>
      </c>
      <c r="G22" s="1">
        <v>42332.072916666664</v>
      </c>
      <c r="H22" s="1">
        <v>5.1819829263359996</v>
      </c>
      <c r="I22" s="1">
        <v>127</v>
      </c>
      <c r="J22" s="1">
        <v>42331.284722222219</v>
      </c>
      <c r="K22" s="1">
        <v>69.376274150399993</v>
      </c>
      <c r="L22" s="1">
        <v>18000</v>
      </c>
      <c r="M22" s="1">
        <v>42331.284722222219</v>
      </c>
      <c r="N22" s="1">
        <v>69.376274150399993</v>
      </c>
      <c r="O22" s="1">
        <v>18000</v>
      </c>
      <c r="S22" s="1">
        <v>42331.267361111109</v>
      </c>
      <c r="T22" s="1">
        <v>49.554481535999997</v>
      </c>
      <c r="U22" s="1">
        <v>8020</v>
      </c>
      <c r="V22" s="1">
        <v>117.74144826660509</v>
      </c>
      <c r="W22" s="1">
        <v>18000</v>
      </c>
    </row>
    <row r="23" spans="1:25" x14ac:dyDescent="0.25">
      <c r="A23" s="1">
        <v>42331.274305555555</v>
      </c>
      <c r="B23" s="1">
        <v>51.53666079744</v>
      </c>
      <c r="C23" s="1">
        <v>7610</v>
      </c>
      <c r="D23" s="1">
        <v>42331.274305555555</v>
      </c>
      <c r="E23" s="1">
        <v>51.53666079744</v>
      </c>
      <c r="F23" s="1">
        <v>7610</v>
      </c>
      <c r="G23" s="1">
        <v>42332.069444444445</v>
      </c>
      <c r="H23" s="1">
        <v>5.1536660797440002</v>
      </c>
      <c r="I23" s="1">
        <v>124</v>
      </c>
      <c r="J23" s="1">
        <v>42331.284722222219</v>
      </c>
      <c r="K23" s="1">
        <v>69.376274150400008</v>
      </c>
      <c r="L23" s="1">
        <v>18000</v>
      </c>
      <c r="M23" s="1">
        <v>42331.284722222219</v>
      </c>
      <c r="N23" s="1">
        <v>69.376274150400008</v>
      </c>
      <c r="O23" s="1">
        <v>18000</v>
      </c>
      <c r="S23" s="1">
        <v>42331.270833333336</v>
      </c>
      <c r="T23" s="1">
        <v>49.554481535999997</v>
      </c>
      <c r="U23" s="1">
        <v>7820</v>
      </c>
      <c r="V23" s="1">
        <v>116.95650503308154</v>
      </c>
      <c r="W23" s="1">
        <v>18000</v>
      </c>
    </row>
    <row r="24" spans="1:25" x14ac:dyDescent="0.25">
      <c r="A24" s="1">
        <v>42331.277777777781</v>
      </c>
      <c r="B24" s="1">
        <v>60.598051706880007</v>
      </c>
      <c r="C24" s="1">
        <v>7410</v>
      </c>
      <c r="D24" s="1">
        <v>42331.277777777781</v>
      </c>
      <c r="E24" s="1">
        <v>60.598051706880007</v>
      </c>
      <c r="F24" s="1">
        <v>7410</v>
      </c>
      <c r="G24" s="1">
        <v>42332.065972222219</v>
      </c>
      <c r="H24" s="1">
        <v>5.2386166195200001</v>
      </c>
      <c r="I24" s="1">
        <v>122</v>
      </c>
      <c r="S24" s="1">
        <v>42331.274305555555</v>
      </c>
      <c r="T24" s="1">
        <v>51.53666079744</v>
      </c>
      <c r="U24" s="1">
        <v>7610</v>
      </c>
      <c r="V24" s="1">
        <v>126.18383291937221</v>
      </c>
    </row>
    <row r="25" spans="1:25" x14ac:dyDescent="0.25">
      <c r="A25" s="1">
        <v>42331.28125</v>
      </c>
      <c r="B25" s="1">
        <v>65.695084093440002</v>
      </c>
      <c r="C25" s="1">
        <v>5930</v>
      </c>
      <c r="D25" s="1">
        <v>42331.28125</v>
      </c>
      <c r="E25" s="1">
        <v>65.695084093440002</v>
      </c>
      <c r="F25" s="1">
        <v>5930</v>
      </c>
      <c r="G25" s="1">
        <v>42332.0625</v>
      </c>
      <c r="H25" s="1">
        <v>5.1819829263359996</v>
      </c>
      <c r="I25" s="1">
        <v>119</v>
      </c>
      <c r="S25" s="1">
        <v>42331.277777777781</v>
      </c>
      <c r="T25" s="1">
        <v>60.598051706880007</v>
      </c>
      <c r="U25" s="1">
        <v>7410</v>
      </c>
      <c r="V25" s="1">
        <v>125.79051165616046</v>
      </c>
    </row>
    <row r="26" spans="1:25" x14ac:dyDescent="0.25">
      <c r="A26" s="1">
        <v>42331.284722222219</v>
      </c>
      <c r="B26" s="1">
        <v>69.376274150400008</v>
      </c>
      <c r="C26" s="1">
        <v>18000</v>
      </c>
      <c r="D26" s="1">
        <v>42331.284722222219</v>
      </c>
      <c r="E26" s="1">
        <v>69.376274150400008</v>
      </c>
      <c r="F26" s="1">
        <v>18000</v>
      </c>
      <c r="G26" s="1">
        <v>42332.059027777781</v>
      </c>
      <c r="H26" s="1">
        <v>5.1536660797440002</v>
      </c>
      <c r="I26" s="1">
        <v>117</v>
      </c>
      <c r="S26" s="1">
        <v>42331.28125</v>
      </c>
      <c r="T26" s="1">
        <v>65.695084093440002</v>
      </c>
      <c r="U26" s="1">
        <v>5930</v>
      </c>
      <c r="V26" s="1">
        <v>245.7517172783208</v>
      </c>
    </row>
    <row r="27" spans="1:25" x14ac:dyDescent="0.25">
      <c r="A27" s="1">
        <v>42331.288194444445</v>
      </c>
      <c r="B27" s="1">
        <v>67.960431820800011</v>
      </c>
      <c r="C27" s="1">
        <v>16800</v>
      </c>
      <c r="G27" s="1">
        <v>42332.055555555555</v>
      </c>
      <c r="H27" s="1">
        <v>5.1819829263359996</v>
      </c>
      <c r="I27" s="1">
        <v>116</v>
      </c>
      <c r="S27" s="1">
        <v>42331.284722222219</v>
      </c>
      <c r="T27" s="1">
        <v>69.376274150400008</v>
      </c>
      <c r="U27" s="1">
        <v>18000</v>
      </c>
      <c r="V27" s="1">
        <v>0</v>
      </c>
    </row>
    <row r="28" spans="1:25" x14ac:dyDescent="0.25">
      <c r="A28" s="1">
        <v>42331.291666666664</v>
      </c>
      <c r="B28" s="1">
        <v>64.279241763840005</v>
      </c>
      <c r="C28" s="1">
        <v>15600</v>
      </c>
      <c r="G28" s="1">
        <v>42332.052083333336</v>
      </c>
      <c r="H28" s="1">
        <v>5.1536660797440002</v>
      </c>
      <c r="I28" s="1">
        <v>117</v>
      </c>
      <c r="S28" s="1">
        <v>42331.284722222219</v>
      </c>
      <c r="T28" s="1">
        <v>69.376274150400008</v>
      </c>
      <c r="U28" s="1">
        <v>18000</v>
      </c>
      <c r="V28" s="1">
        <v>358.57622881193379</v>
      </c>
    </row>
    <row r="29" spans="1:25" x14ac:dyDescent="0.25">
      <c r="A29" s="1">
        <v>42331.295138888891</v>
      </c>
      <c r="B29" s="1">
        <v>62.580230968320002</v>
      </c>
      <c r="C29" s="1">
        <v>14500</v>
      </c>
      <c r="G29" s="1">
        <v>42332.048611111109</v>
      </c>
      <c r="H29" s="1">
        <v>5.1536660797440002</v>
      </c>
      <c r="I29" s="1">
        <v>118</v>
      </c>
      <c r="S29" s="1">
        <v>42331.288194444445</v>
      </c>
      <c r="T29" s="1">
        <v>67.960431820800011</v>
      </c>
      <c r="U29" s="1">
        <v>16800</v>
      </c>
      <c r="V29" s="1">
        <v>321.67371361621963</v>
      </c>
    </row>
    <row r="30" spans="1:25" x14ac:dyDescent="0.25">
      <c r="A30" s="1">
        <v>42331.298611111109</v>
      </c>
      <c r="B30" s="1">
        <v>63.712904832</v>
      </c>
      <c r="C30" s="1">
        <v>13300</v>
      </c>
      <c r="G30" s="1">
        <v>42332.045138888891</v>
      </c>
      <c r="H30" s="1">
        <v>5.0970323865600005</v>
      </c>
      <c r="I30" s="1">
        <v>119</v>
      </c>
      <c r="S30" s="1">
        <v>42331.291666666664</v>
      </c>
      <c r="T30" s="1">
        <v>64.279241763840005</v>
      </c>
      <c r="U30" s="1">
        <v>15600</v>
      </c>
      <c r="V30" s="1">
        <v>286.52542841704116</v>
      </c>
    </row>
    <row r="31" spans="1:25" x14ac:dyDescent="0.25">
      <c r="A31" s="1">
        <v>42331.302083333336</v>
      </c>
      <c r="B31" s="1">
        <v>63.712904832</v>
      </c>
      <c r="C31" s="1">
        <v>12100</v>
      </c>
      <c r="G31" s="1">
        <v>42332.041666666664</v>
      </c>
      <c r="H31" s="1">
        <v>5.1536660797440002</v>
      </c>
      <c r="I31" s="1">
        <v>120</v>
      </c>
      <c r="S31" s="1">
        <v>42331.295138888891</v>
      </c>
      <c r="T31" s="1">
        <v>62.580230968320002</v>
      </c>
      <c r="U31" s="1">
        <v>14500</v>
      </c>
      <c r="V31" s="1">
        <v>263.21924725079401</v>
      </c>
    </row>
    <row r="32" spans="1:25" x14ac:dyDescent="0.25">
      <c r="A32" s="1">
        <v>42331.305555555555</v>
      </c>
      <c r="B32" s="1">
        <v>62.580230968320002</v>
      </c>
      <c r="C32" s="1">
        <v>10900</v>
      </c>
      <c r="G32" s="1">
        <v>42332.038194444445</v>
      </c>
      <c r="H32" s="1">
        <v>5.0970323865600005</v>
      </c>
      <c r="I32" s="1">
        <v>121</v>
      </c>
      <c r="S32" s="1">
        <v>42331.298611111109</v>
      </c>
      <c r="T32" s="1">
        <v>63.712904832</v>
      </c>
      <c r="U32" s="1">
        <v>13300</v>
      </c>
      <c r="V32" s="1">
        <v>242.74616769251378</v>
      </c>
    </row>
    <row r="33" spans="1:22" x14ac:dyDescent="0.25">
      <c r="A33" s="1">
        <v>42331.309027777781</v>
      </c>
      <c r="B33" s="1">
        <v>61.447557104639998</v>
      </c>
      <c r="C33" s="1">
        <v>9990</v>
      </c>
      <c r="G33" s="1">
        <v>42332.034722222219</v>
      </c>
      <c r="H33" s="1">
        <v>5.0687155399680002</v>
      </c>
      <c r="I33" s="1">
        <v>122</v>
      </c>
      <c r="S33" s="1">
        <v>42331.302083333336</v>
      </c>
      <c r="T33" s="1">
        <v>63.712904832</v>
      </c>
      <c r="U33" s="1">
        <v>12100</v>
      </c>
      <c r="V33" s="1">
        <v>217.9575997002944</v>
      </c>
    </row>
    <row r="34" spans="1:22" x14ac:dyDescent="0.25">
      <c r="A34" s="1">
        <v>42331.3125</v>
      </c>
      <c r="B34" s="1">
        <v>60.598051706880007</v>
      </c>
      <c r="C34" s="1">
        <v>9430</v>
      </c>
      <c r="G34" s="1">
        <v>42332.03125</v>
      </c>
      <c r="H34" s="1">
        <v>5.0970323865600005</v>
      </c>
      <c r="I34" s="1">
        <v>123</v>
      </c>
      <c r="S34" s="1">
        <v>42331.305555555555</v>
      </c>
      <c r="T34" s="1">
        <v>62.580230968320002</v>
      </c>
      <c r="U34" s="1">
        <v>10900</v>
      </c>
      <c r="V34" s="1">
        <v>194.39784218081513</v>
      </c>
    </row>
    <row r="35" spans="1:22" x14ac:dyDescent="0.25">
      <c r="A35" s="1">
        <v>42331.315972222219</v>
      </c>
      <c r="B35" s="1">
        <v>59.465377843200002</v>
      </c>
      <c r="C35" s="1">
        <v>8860</v>
      </c>
      <c r="G35" s="1">
        <v>42332.027777777781</v>
      </c>
      <c r="H35" s="1">
        <v>5.0970323865600005</v>
      </c>
      <c r="I35" s="1">
        <v>124</v>
      </c>
      <c r="S35" s="1">
        <v>42331.309027777781</v>
      </c>
      <c r="T35" s="1">
        <v>61.447557104639998</v>
      </c>
      <c r="U35" s="1">
        <v>9990</v>
      </c>
      <c r="V35" s="1">
        <v>177.79510829510019</v>
      </c>
    </row>
    <row r="36" spans="1:22" x14ac:dyDescent="0.25">
      <c r="A36" s="1">
        <v>42331.319444444445</v>
      </c>
      <c r="B36" s="1">
        <v>60.031714775040001</v>
      </c>
      <c r="C36" s="1">
        <v>8300</v>
      </c>
      <c r="G36" s="1">
        <v>42332.020833333336</v>
      </c>
      <c r="H36" s="1">
        <v>4.9837650001920002</v>
      </c>
      <c r="I36" s="1">
        <v>124</v>
      </c>
      <c r="S36" s="1">
        <v>42331.3125</v>
      </c>
      <c r="T36" s="1">
        <v>60.598051706880007</v>
      </c>
      <c r="U36" s="1">
        <v>9430</v>
      </c>
      <c r="V36" s="1">
        <v>164.74543113956341</v>
      </c>
    </row>
    <row r="37" spans="1:22" x14ac:dyDescent="0.25">
      <c r="A37" s="1">
        <v>42331.322916666664</v>
      </c>
      <c r="B37" s="1">
        <v>60.31488324096</v>
      </c>
      <c r="C37" s="1">
        <v>7730</v>
      </c>
      <c r="G37" s="1">
        <v>42332.017361111109</v>
      </c>
      <c r="H37" s="1">
        <v>5.0687155399680002</v>
      </c>
      <c r="I37" s="1">
        <v>124</v>
      </c>
      <c r="S37" s="1">
        <v>42331.315972222219</v>
      </c>
      <c r="T37" s="1">
        <v>59.465377843200002</v>
      </c>
      <c r="U37" s="1">
        <v>8860</v>
      </c>
      <c r="V37" s="1">
        <v>153.76897222754826</v>
      </c>
    </row>
    <row r="38" spans="1:22" x14ac:dyDescent="0.25">
      <c r="A38" s="1">
        <v>42331.326388888891</v>
      </c>
      <c r="B38" s="1">
        <v>59.182209377280003</v>
      </c>
      <c r="C38" s="1">
        <v>7170</v>
      </c>
      <c r="G38" s="1">
        <v>42332.010416666664</v>
      </c>
      <c r="H38" s="1">
        <v>4.9271313070080005</v>
      </c>
      <c r="I38" s="1">
        <v>114</v>
      </c>
      <c r="S38" s="1">
        <v>42331.319444444445</v>
      </c>
      <c r="T38" s="1">
        <v>60.031714775040001</v>
      </c>
      <c r="U38" s="1">
        <v>8300</v>
      </c>
      <c r="V38" s="1">
        <v>144.67459187807921</v>
      </c>
    </row>
    <row r="39" spans="1:22" x14ac:dyDescent="0.25">
      <c r="A39" s="1">
        <v>42331.329861111109</v>
      </c>
      <c r="B39" s="1">
        <v>57.48319858176</v>
      </c>
      <c r="C39" s="1">
        <v>6600</v>
      </c>
      <c r="G39" s="1">
        <v>42332.006944444445</v>
      </c>
      <c r="H39" s="1">
        <v>4.9837650001920002</v>
      </c>
      <c r="I39" s="1">
        <v>108</v>
      </c>
      <c r="S39" s="1">
        <v>42331.322916666664</v>
      </c>
      <c r="T39" s="1">
        <v>60.31488324096</v>
      </c>
      <c r="U39" s="1">
        <v>7730</v>
      </c>
      <c r="V39" s="1">
        <v>133.58557345867186</v>
      </c>
    </row>
    <row r="40" spans="1:22" x14ac:dyDescent="0.25">
      <c r="A40" s="1">
        <v>42331.333333333336</v>
      </c>
      <c r="B40" s="1">
        <v>55.217850854399998</v>
      </c>
      <c r="C40" s="1">
        <v>6250</v>
      </c>
      <c r="G40" s="1">
        <v>42332</v>
      </c>
      <c r="H40" s="1">
        <v>4.9271313070080005</v>
      </c>
      <c r="I40" s="1">
        <v>109</v>
      </c>
      <c r="S40" s="1">
        <v>42331.326388888891</v>
      </c>
      <c r="T40" s="1">
        <v>59.182209377280003</v>
      </c>
      <c r="U40" s="1">
        <v>7170</v>
      </c>
      <c r="V40" s="1">
        <v>120.55883266892789</v>
      </c>
    </row>
    <row r="41" spans="1:22" x14ac:dyDescent="0.25">
      <c r="A41" s="1">
        <v>42331.336805555555</v>
      </c>
      <c r="B41" s="1">
        <v>53.802008524800002</v>
      </c>
      <c r="C41" s="1">
        <v>5890</v>
      </c>
      <c r="G41" s="1">
        <v>42331.989583333336</v>
      </c>
      <c r="H41" s="1">
        <v>4.8421807672320005</v>
      </c>
      <c r="I41" s="1">
        <v>111</v>
      </c>
      <c r="S41" s="1">
        <v>42331.329861111109</v>
      </c>
      <c r="T41" s="1">
        <v>57.48319858176</v>
      </c>
      <c r="U41" s="1">
        <v>6600</v>
      </c>
      <c r="V41" s="1">
        <v>108.67510189845687</v>
      </c>
    </row>
    <row r="42" spans="1:22" x14ac:dyDescent="0.25">
      <c r="A42" s="1">
        <v>42331.340277777781</v>
      </c>
      <c r="B42" s="1">
        <v>51.53666079744</v>
      </c>
      <c r="C42" s="1">
        <v>5530</v>
      </c>
      <c r="G42" s="1">
        <v>42331.979166666664</v>
      </c>
      <c r="H42" s="1">
        <v>4.8138639206400002</v>
      </c>
      <c r="I42" s="1">
        <v>113</v>
      </c>
      <c r="S42" s="1">
        <v>42331.333333333336</v>
      </c>
      <c r="T42" s="1">
        <v>55.217850854399998</v>
      </c>
      <c r="U42" s="1">
        <v>6250</v>
      </c>
      <c r="V42" s="1">
        <v>99.300809615179702</v>
      </c>
    </row>
    <row r="43" spans="1:22" x14ac:dyDescent="0.25">
      <c r="A43" s="1">
        <v>42331.34375</v>
      </c>
      <c r="B43" s="1">
        <v>49.554481535999997</v>
      </c>
      <c r="C43" s="1">
        <v>5170</v>
      </c>
      <c r="G43" s="1">
        <v>42331.96875</v>
      </c>
      <c r="H43" s="1">
        <v>4.7855470740480008</v>
      </c>
      <c r="I43" s="1">
        <v>115</v>
      </c>
      <c r="S43" s="1">
        <v>42331.336805555555</v>
      </c>
      <c r="T43" s="1">
        <v>53.802008524800002</v>
      </c>
      <c r="U43" s="1">
        <v>5890</v>
      </c>
      <c r="V43" s="1">
        <v>90.283734768241388</v>
      </c>
    </row>
    <row r="44" spans="1:22" x14ac:dyDescent="0.25">
      <c r="A44" s="1">
        <v>42331.347222222219</v>
      </c>
      <c r="B44" s="1">
        <v>48.138639206400001</v>
      </c>
      <c r="C44" s="1">
        <v>4810</v>
      </c>
      <c r="G44" s="1">
        <v>42331.958333333336</v>
      </c>
      <c r="H44" s="1">
        <v>4.7855470740480008</v>
      </c>
      <c r="I44" s="1">
        <v>117</v>
      </c>
      <c r="S44" s="1">
        <v>42331.340277777781</v>
      </c>
      <c r="T44" s="1">
        <v>51.53666079744</v>
      </c>
      <c r="U44" s="1">
        <v>5530</v>
      </c>
      <c r="V44" s="1">
        <v>81.179160487040491</v>
      </c>
    </row>
    <row r="45" spans="1:22" x14ac:dyDescent="0.25">
      <c r="A45" s="1">
        <v>42331.350694444445</v>
      </c>
      <c r="B45" s="1">
        <v>46.439628410880005</v>
      </c>
      <c r="C45" s="1">
        <v>4530</v>
      </c>
      <c r="G45" s="1">
        <v>42331.947916666664</v>
      </c>
      <c r="H45" s="1">
        <v>4.7855470740480008</v>
      </c>
      <c r="I45" s="1">
        <v>121</v>
      </c>
      <c r="S45" s="1">
        <v>42331.34375</v>
      </c>
      <c r="T45" s="1">
        <v>49.554481535999997</v>
      </c>
      <c r="U45" s="1">
        <v>5170</v>
      </c>
      <c r="V45" s="1">
        <v>73.161528550448608</v>
      </c>
    </row>
    <row r="46" spans="1:22" x14ac:dyDescent="0.25">
      <c r="A46" s="1">
        <v>42331.354166666664</v>
      </c>
      <c r="B46" s="1">
        <v>45.023786081280001</v>
      </c>
      <c r="C46" s="1">
        <v>4250</v>
      </c>
      <c r="G46" s="1">
        <v>42331.9375</v>
      </c>
      <c r="H46" s="1">
        <v>4.7855470740480008</v>
      </c>
      <c r="I46" s="1">
        <v>125</v>
      </c>
      <c r="S46" s="1">
        <v>42331.347222222219</v>
      </c>
      <c r="T46" s="1">
        <v>48.138639206400001</v>
      </c>
      <c r="U46" s="1">
        <v>4810</v>
      </c>
      <c r="V46" s="1">
        <v>66.287755769779679</v>
      </c>
    </row>
    <row r="47" spans="1:22" x14ac:dyDescent="0.25">
      <c r="A47" s="1">
        <v>42331.357638888891</v>
      </c>
      <c r="B47" s="1">
        <v>43.324775285759998</v>
      </c>
      <c r="C47" s="1">
        <v>3970</v>
      </c>
      <c r="G47" s="1">
        <v>42331.927083333336</v>
      </c>
      <c r="H47" s="1">
        <v>4.8138639206400002</v>
      </c>
      <c r="I47" s="1">
        <v>129</v>
      </c>
      <c r="S47" s="1">
        <v>42331.350694444445</v>
      </c>
      <c r="T47" s="1">
        <v>46.439628410880005</v>
      </c>
      <c r="U47" s="1">
        <v>4530</v>
      </c>
      <c r="V47" s="1">
        <v>60.258391075888966</v>
      </c>
    </row>
    <row r="48" spans="1:22" x14ac:dyDescent="0.25">
      <c r="A48" s="1">
        <v>42331.361111111109</v>
      </c>
      <c r="B48" s="1">
        <v>42.19210142208</v>
      </c>
      <c r="C48" s="1">
        <v>3690</v>
      </c>
      <c r="G48" s="1">
        <v>42331.916666666664</v>
      </c>
      <c r="H48" s="1">
        <v>4.8421807672320005</v>
      </c>
      <c r="I48" s="1">
        <v>135</v>
      </c>
      <c r="S48" s="1">
        <v>42331.354166666664</v>
      </c>
      <c r="T48" s="1">
        <v>45.023786081280001</v>
      </c>
      <c r="U48" s="1">
        <v>4250</v>
      </c>
      <c r="V48" s="1">
        <v>54.502567372935417</v>
      </c>
    </row>
    <row r="49" spans="1:22" x14ac:dyDescent="0.25">
      <c r="A49" s="1">
        <v>42331.364583333336</v>
      </c>
      <c r="B49" s="1">
        <v>40.209922160640005</v>
      </c>
      <c r="C49" s="1">
        <v>3410</v>
      </c>
      <c r="G49" s="1">
        <v>42331.90625</v>
      </c>
      <c r="H49" s="1">
        <v>4.8421807672320005</v>
      </c>
      <c r="I49" s="1">
        <v>141</v>
      </c>
      <c r="S49" s="1">
        <v>42331.357638888891</v>
      </c>
      <c r="T49" s="1">
        <v>43.324775285759998</v>
      </c>
      <c r="U49" s="1">
        <v>3970</v>
      </c>
      <c r="V49" s="1">
        <v>49.153231774013847</v>
      </c>
    </row>
    <row r="50" spans="1:22" x14ac:dyDescent="0.25">
      <c r="A50" s="1">
        <v>42331.368055555555</v>
      </c>
      <c r="B50" s="1">
        <v>38.510911365120002</v>
      </c>
      <c r="C50" s="1">
        <v>3270</v>
      </c>
      <c r="G50" s="1">
        <v>42331.895833333336</v>
      </c>
      <c r="H50" s="1">
        <v>4.9271313070080005</v>
      </c>
      <c r="I50" s="1">
        <v>147</v>
      </c>
      <c r="S50" s="1">
        <v>42331.361111111109</v>
      </c>
      <c r="T50" s="1">
        <v>42.19210142208</v>
      </c>
      <c r="U50" s="1">
        <v>3690</v>
      </c>
      <c r="V50" s="1">
        <v>43.92070337341908</v>
      </c>
    </row>
    <row r="51" spans="1:22" x14ac:dyDescent="0.25">
      <c r="A51" s="1">
        <v>42331.371527777781</v>
      </c>
      <c r="B51" s="1">
        <v>37.095069035519998</v>
      </c>
      <c r="C51" s="1">
        <v>3130</v>
      </c>
      <c r="G51" s="1">
        <v>42331.888888888891</v>
      </c>
      <c r="H51" s="1">
        <v>4.9837650001920002</v>
      </c>
      <c r="I51" s="1">
        <v>151</v>
      </c>
      <c r="S51" s="1">
        <v>42331.364583333336</v>
      </c>
      <c r="T51" s="1">
        <v>40.209922160640005</v>
      </c>
      <c r="U51" s="1">
        <v>3410</v>
      </c>
      <c r="V51" s="1">
        <v>39.456977173011552</v>
      </c>
    </row>
    <row r="52" spans="1:22" x14ac:dyDescent="0.25">
      <c r="A52" s="1">
        <v>42331.375</v>
      </c>
      <c r="B52" s="1">
        <v>35.112889774080003</v>
      </c>
      <c r="C52" s="1">
        <v>2980</v>
      </c>
      <c r="G52" s="1">
        <v>42331.885416666664</v>
      </c>
      <c r="H52" s="1">
        <v>4.9837650001920002</v>
      </c>
      <c r="I52" s="1">
        <v>153</v>
      </c>
      <c r="S52" s="1">
        <v>42331.368055555555</v>
      </c>
      <c r="T52" s="1">
        <v>38.510911365120002</v>
      </c>
      <c r="U52" s="1">
        <v>3270</v>
      </c>
      <c r="V52" s="1">
        <v>36.305736979033448</v>
      </c>
    </row>
    <row r="53" spans="1:22" x14ac:dyDescent="0.25">
      <c r="A53" s="1">
        <v>42331.378472222219</v>
      </c>
      <c r="B53" s="1">
        <v>33.697047444479999</v>
      </c>
      <c r="C53" s="1">
        <v>2840</v>
      </c>
      <c r="G53" s="1">
        <v>42331.881944444445</v>
      </c>
      <c r="H53" s="1">
        <v>5.0687155399680002</v>
      </c>
      <c r="I53" s="1">
        <v>155</v>
      </c>
      <c r="S53" s="1">
        <v>42331.371527777781</v>
      </c>
      <c r="T53" s="1">
        <v>37.095069035519998</v>
      </c>
      <c r="U53" s="1">
        <v>3130</v>
      </c>
      <c r="V53" s="1">
        <v>33.111596610352827</v>
      </c>
    </row>
    <row r="54" spans="1:22" x14ac:dyDescent="0.25">
      <c r="A54" s="1">
        <v>42331.381944444445</v>
      </c>
      <c r="B54" s="1">
        <v>31.998036648960003</v>
      </c>
      <c r="C54" s="1">
        <v>2770</v>
      </c>
      <c r="G54" s="1">
        <v>42331.878472222219</v>
      </c>
      <c r="H54" s="1">
        <v>5.1536660797440002</v>
      </c>
      <c r="I54" s="1">
        <v>157</v>
      </c>
      <c r="S54" s="1">
        <v>42331.375</v>
      </c>
      <c r="T54" s="1">
        <v>35.112889774080003</v>
      </c>
      <c r="U54" s="1">
        <v>2980</v>
      </c>
      <c r="V54" s="1">
        <v>30.050403912375625</v>
      </c>
    </row>
    <row r="55" spans="1:22" x14ac:dyDescent="0.25">
      <c r="A55" s="1">
        <v>42331.385416666664</v>
      </c>
      <c r="B55" s="1">
        <v>30.582194319360003</v>
      </c>
      <c r="C55" s="1">
        <v>2690</v>
      </c>
      <c r="G55" s="1">
        <v>42331.875</v>
      </c>
      <c r="H55" s="1">
        <v>5.1536660797440002</v>
      </c>
      <c r="I55" s="1">
        <v>160</v>
      </c>
      <c r="S55" s="1">
        <v>42331.378472222219</v>
      </c>
      <c r="T55" s="1">
        <v>33.697047444479999</v>
      </c>
      <c r="U55" s="1">
        <v>2840</v>
      </c>
      <c r="V55" s="1">
        <v>27.650126471180346</v>
      </c>
    </row>
    <row r="56" spans="1:22" x14ac:dyDescent="0.25">
      <c r="A56" s="1">
        <v>42331.388888888891</v>
      </c>
      <c r="B56" s="1">
        <v>29.449520455680002</v>
      </c>
      <c r="C56" s="1">
        <v>2620</v>
      </c>
      <c r="G56" s="1">
        <v>42331.871527777781</v>
      </c>
      <c r="H56" s="1">
        <v>5.1536660797440002</v>
      </c>
      <c r="I56" s="1">
        <v>162</v>
      </c>
      <c r="S56" s="1">
        <v>42331.381944444445</v>
      </c>
      <c r="T56" s="1">
        <v>31.998036648960003</v>
      </c>
      <c r="U56" s="1">
        <v>2770</v>
      </c>
      <c r="V56" s="1">
        <v>25.635099611630096</v>
      </c>
    </row>
    <row r="57" spans="1:22" x14ac:dyDescent="0.25">
      <c r="A57" s="1">
        <v>42331.392361111109</v>
      </c>
      <c r="B57" s="1">
        <v>28.60001505792</v>
      </c>
      <c r="C57" s="1">
        <v>2540</v>
      </c>
      <c r="G57" s="1">
        <v>42331.868055555555</v>
      </c>
      <c r="H57" s="1">
        <v>5.1536660797440002</v>
      </c>
      <c r="I57" s="1">
        <v>164</v>
      </c>
      <c r="S57" s="1">
        <v>42331.385416666664</v>
      </c>
      <c r="T57" s="1">
        <v>30.582194319360003</v>
      </c>
      <c r="U57" s="1">
        <v>2690</v>
      </c>
      <c r="V57" s="1">
        <v>23.913576974783073</v>
      </c>
    </row>
    <row r="58" spans="1:22" x14ac:dyDescent="0.25">
      <c r="A58" s="1">
        <v>42331.395833333336</v>
      </c>
      <c r="B58" s="1">
        <v>27.354073807872002</v>
      </c>
      <c r="C58" s="1">
        <v>2470</v>
      </c>
      <c r="G58" s="1">
        <v>42331.864583333336</v>
      </c>
      <c r="H58" s="1">
        <v>5.1819829263359996</v>
      </c>
      <c r="I58" s="1">
        <v>166</v>
      </c>
      <c r="S58" s="1">
        <v>42331.388888888891</v>
      </c>
      <c r="T58" s="1">
        <v>29.449520455680002</v>
      </c>
      <c r="U58" s="1">
        <v>2620</v>
      </c>
      <c r="V58" s="1">
        <v>22.470267255222691</v>
      </c>
    </row>
    <row r="59" spans="1:22" x14ac:dyDescent="0.25">
      <c r="A59" s="1">
        <v>42331.399305555555</v>
      </c>
      <c r="B59" s="1">
        <v>26.872687415808002</v>
      </c>
      <c r="C59" s="1">
        <v>2400</v>
      </c>
      <c r="G59" s="1">
        <v>42331.861111111109</v>
      </c>
      <c r="H59" s="1">
        <v>5.1819829263359996</v>
      </c>
      <c r="I59" s="1">
        <v>168</v>
      </c>
      <c r="S59" s="1">
        <v>42331.392361111109</v>
      </c>
      <c r="T59" s="1">
        <v>28.60001505792</v>
      </c>
      <c r="U59" s="1">
        <v>2540</v>
      </c>
      <c r="V59" s="1">
        <v>21.031290107367742</v>
      </c>
    </row>
    <row r="60" spans="1:22" x14ac:dyDescent="0.25">
      <c r="A60" s="1">
        <v>42331.402777777781</v>
      </c>
      <c r="B60" s="1">
        <v>25.796647245312002</v>
      </c>
      <c r="C60" s="1">
        <v>2340</v>
      </c>
      <c r="G60" s="1">
        <v>42331.857638888891</v>
      </c>
      <c r="H60" s="1">
        <v>5.2386166195200001</v>
      </c>
      <c r="I60" s="1">
        <v>170</v>
      </c>
      <c r="S60" s="1">
        <v>42331.395833333336</v>
      </c>
      <c r="T60" s="1">
        <v>27.354073807872002</v>
      </c>
      <c r="U60" s="1">
        <v>2470</v>
      </c>
      <c r="V60" s="1">
        <v>19.808851797059027</v>
      </c>
    </row>
    <row r="61" spans="1:22" x14ac:dyDescent="0.25">
      <c r="A61" s="1">
        <v>42331.40625</v>
      </c>
      <c r="B61" s="1">
        <v>25.003775540736001</v>
      </c>
      <c r="C61" s="1">
        <v>2280</v>
      </c>
      <c r="G61" s="1">
        <v>42331.854166666664</v>
      </c>
      <c r="H61" s="1">
        <v>5.2386166195200001</v>
      </c>
      <c r="I61" s="1">
        <v>172</v>
      </c>
      <c r="S61" s="1">
        <v>42331.399305555555</v>
      </c>
      <c r="T61" s="1">
        <v>26.872687415808002</v>
      </c>
      <c r="U61" s="1">
        <v>2400</v>
      </c>
      <c r="V61" s="1">
        <v>18.728790674598578</v>
      </c>
    </row>
    <row r="62" spans="1:22" x14ac:dyDescent="0.25">
      <c r="A62" s="1">
        <v>42331.409722222219</v>
      </c>
      <c r="B62" s="1">
        <v>23.984369063424001</v>
      </c>
      <c r="C62" s="1">
        <v>2220</v>
      </c>
      <c r="G62" s="1">
        <v>42331.850694444445</v>
      </c>
      <c r="H62" s="1">
        <v>5.2669334661120004</v>
      </c>
      <c r="I62" s="1">
        <v>174</v>
      </c>
      <c r="S62" s="1">
        <v>42331.402777777781</v>
      </c>
      <c r="T62" s="1">
        <v>25.796647245312002</v>
      </c>
      <c r="U62" s="1">
        <v>2340</v>
      </c>
      <c r="V62" s="1">
        <v>17.605914401639438</v>
      </c>
    </row>
    <row r="63" spans="1:22" x14ac:dyDescent="0.25">
      <c r="A63" s="1">
        <v>42331.413194444445</v>
      </c>
      <c r="B63" s="1">
        <v>23.418032131584003</v>
      </c>
      <c r="C63" s="1">
        <v>2160</v>
      </c>
      <c r="G63" s="1">
        <v>42331.847222222219</v>
      </c>
      <c r="H63" s="1">
        <v>5.2669334661120004</v>
      </c>
      <c r="I63" s="1">
        <v>176</v>
      </c>
      <c r="S63" s="1">
        <v>42331.40625</v>
      </c>
      <c r="T63" s="1">
        <v>25.003775540736001</v>
      </c>
      <c r="U63" s="1">
        <v>2280</v>
      </c>
      <c r="V63" s="1">
        <v>16.538086117649613</v>
      </c>
    </row>
    <row r="64" spans="1:22" x14ac:dyDescent="0.25">
      <c r="A64" s="1">
        <v>42331.416666666664</v>
      </c>
      <c r="B64" s="1">
        <v>22.568526733824001</v>
      </c>
      <c r="C64" s="1">
        <v>2100</v>
      </c>
      <c r="G64" s="1">
        <v>42331.84375</v>
      </c>
      <c r="H64" s="1">
        <v>5.3235671592960001</v>
      </c>
      <c r="I64" s="1">
        <v>178</v>
      </c>
      <c r="S64" s="1">
        <v>42331.409722222219</v>
      </c>
      <c r="T64" s="1">
        <v>23.984369063424001</v>
      </c>
      <c r="U64" s="1">
        <v>2220</v>
      </c>
      <c r="V64" s="1">
        <v>15.574237326884209</v>
      </c>
    </row>
    <row r="65" spans="1:22" x14ac:dyDescent="0.25">
      <c r="A65" s="1">
        <v>42331.420138888891</v>
      </c>
      <c r="B65" s="1">
        <v>21.803971875840002</v>
      </c>
      <c r="C65" s="1">
        <v>2040</v>
      </c>
      <c r="G65" s="1">
        <v>42331.840277777781</v>
      </c>
      <c r="H65" s="1">
        <v>5.3235671592960001</v>
      </c>
      <c r="I65" s="1">
        <v>180</v>
      </c>
      <c r="S65" s="1">
        <v>42331.413194444445</v>
      </c>
      <c r="T65" s="1">
        <v>23.418032131584003</v>
      </c>
      <c r="U65" s="1">
        <v>2160</v>
      </c>
      <c r="V65" s="1">
        <v>14.696528318100567</v>
      </c>
    </row>
    <row r="66" spans="1:22" x14ac:dyDescent="0.25">
      <c r="A66" s="1">
        <v>42331.423611111109</v>
      </c>
      <c r="B66" s="1">
        <v>21.181001250815999</v>
      </c>
      <c r="C66" s="1">
        <v>1980</v>
      </c>
      <c r="G66" s="1">
        <v>42331.836805555555</v>
      </c>
      <c r="H66" s="1">
        <v>5.3518840058880004</v>
      </c>
      <c r="I66" s="1">
        <v>182</v>
      </c>
      <c r="S66" s="1">
        <v>42331.416666666664</v>
      </c>
      <c r="T66" s="1">
        <v>22.568526733824001</v>
      </c>
      <c r="U66" s="1">
        <v>2100</v>
      </c>
      <c r="V66" s="1">
        <v>13.781101331204916</v>
      </c>
    </row>
    <row r="67" spans="1:22" x14ac:dyDescent="0.25">
      <c r="A67" s="1">
        <v>42331.427083333336</v>
      </c>
      <c r="B67" s="1">
        <v>20.473080086016001</v>
      </c>
      <c r="C67" s="1">
        <v>1940</v>
      </c>
      <c r="G67" s="1">
        <v>42331.833333333336</v>
      </c>
      <c r="H67" s="1">
        <v>5.3518840058880004</v>
      </c>
      <c r="I67" s="1">
        <v>185</v>
      </c>
      <c r="S67" s="1">
        <v>42331.420138888891</v>
      </c>
      <c r="T67" s="1">
        <v>21.803971875840002</v>
      </c>
      <c r="U67" s="1">
        <v>2040</v>
      </c>
      <c r="V67" s="1">
        <v>12.96277275342687</v>
      </c>
    </row>
    <row r="68" spans="1:22" x14ac:dyDescent="0.25">
      <c r="A68" s="1">
        <v>42331.430555555555</v>
      </c>
      <c r="B68" s="1">
        <v>19.963376847359999</v>
      </c>
      <c r="C68" s="1">
        <v>1890</v>
      </c>
      <c r="G68" s="1">
        <v>42331.829861111109</v>
      </c>
      <c r="H68" s="1">
        <v>5.4085176990720001</v>
      </c>
      <c r="I68" s="1">
        <v>187</v>
      </c>
      <c r="S68" s="1">
        <v>42331.423611111109</v>
      </c>
      <c r="T68" s="1">
        <v>21.181001250815999</v>
      </c>
      <c r="U68" s="1">
        <v>1980</v>
      </c>
      <c r="V68" s="1">
        <v>12.248423690782053</v>
      </c>
    </row>
    <row r="69" spans="1:22" x14ac:dyDescent="0.25">
      <c r="A69" s="1">
        <v>42331.434027777781</v>
      </c>
      <c r="B69" s="1">
        <v>19.170505142784002</v>
      </c>
      <c r="C69" s="1">
        <v>1850</v>
      </c>
      <c r="G69" s="1">
        <v>42331.826388888891</v>
      </c>
      <c r="H69" s="1">
        <v>5.4651513922559998</v>
      </c>
      <c r="I69" s="1">
        <v>189</v>
      </c>
      <c r="S69" s="1">
        <v>42331.427083333336</v>
      </c>
      <c r="T69" s="1">
        <v>20.473080086016001</v>
      </c>
      <c r="U69" s="1">
        <v>1940</v>
      </c>
      <c r="V69" s="1">
        <v>11.617283630437777</v>
      </c>
    </row>
    <row r="70" spans="1:22" x14ac:dyDescent="0.25">
      <c r="A70" s="1">
        <v>42331.4375</v>
      </c>
      <c r="B70" s="1">
        <v>18.689118750720002</v>
      </c>
      <c r="C70" s="1">
        <v>1810</v>
      </c>
      <c r="G70" s="1">
        <v>42331.822916666664</v>
      </c>
      <c r="H70" s="1">
        <v>5.493468238848001</v>
      </c>
      <c r="I70" s="1">
        <v>191</v>
      </c>
      <c r="S70" s="1">
        <v>42331.430555555555</v>
      </c>
      <c r="T70" s="1">
        <v>19.963376847359999</v>
      </c>
      <c r="U70" s="1">
        <v>1890</v>
      </c>
      <c r="V70" s="1">
        <v>10.979432526130863</v>
      </c>
    </row>
    <row r="71" spans="1:22" x14ac:dyDescent="0.25">
      <c r="A71" s="1">
        <v>42331.440972222219</v>
      </c>
      <c r="B71" s="1">
        <v>18.236049205248001</v>
      </c>
      <c r="C71" s="1">
        <v>1760</v>
      </c>
      <c r="G71" s="1">
        <v>42331.819444444445</v>
      </c>
      <c r="H71" s="1">
        <v>5.493468238848001</v>
      </c>
      <c r="I71" s="1">
        <v>193</v>
      </c>
      <c r="S71" s="1">
        <v>42331.434027777781</v>
      </c>
      <c r="T71" s="1">
        <v>19.170505142784002</v>
      </c>
      <c r="U71" s="1">
        <v>1850</v>
      </c>
      <c r="V71" s="1">
        <v>10.393910908262956</v>
      </c>
    </row>
    <row r="72" spans="1:22" x14ac:dyDescent="0.25">
      <c r="A72" s="1">
        <v>42331.444444444445</v>
      </c>
      <c r="B72" s="1">
        <v>17.669712273407999</v>
      </c>
      <c r="C72" s="1">
        <v>1720</v>
      </c>
      <c r="G72" s="1">
        <v>42331.815972222219</v>
      </c>
      <c r="H72" s="1">
        <v>5.5501019320319998</v>
      </c>
      <c r="I72" s="1">
        <v>195</v>
      </c>
      <c r="S72" s="1">
        <v>42331.4375</v>
      </c>
      <c r="T72" s="1">
        <v>18.689118750720002</v>
      </c>
      <c r="U72" s="1">
        <v>1810</v>
      </c>
      <c r="V72" s="1">
        <v>9.8884127217966498</v>
      </c>
    </row>
    <row r="73" spans="1:22" x14ac:dyDescent="0.25">
      <c r="A73" s="1">
        <v>42331.447916666664</v>
      </c>
      <c r="B73" s="1">
        <v>17.584761733632</v>
      </c>
      <c r="C73" s="1">
        <v>1670</v>
      </c>
      <c r="G73" s="1">
        <v>42331.8125</v>
      </c>
      <c r="H73" s="1">
        <v>5.5501019320319998</v>
      </c>
      <c r="I73" s="1">
        <v>197</v>
      </c>
      <c r="S73" s="1">
        <v>42331.440972222219</v>
      </c>
      <c r="T73" s="1">
        <v>18.236049205248001</v>
      </c>
      <c r="U73" s="1">
        <v>1760</v>
      </c>
      <c r="V73" s="1">
        <v>9.373102767636464</v>
      </c>
    </row>
    <row r="74" spans="1:22" x14ac:dyDescent="0.25">
      <c r="A74" s="1">
        <v>42331.451388888891</v>
      </c>
      <c r="B74" s="1">
        <v>17.216642727935998</v>
      </c>
      <c r="C74" s="1">
        <v>1630</v>
      </c>
      <c r="G74" s="1">
        <v>42331.809027777781</v>
      </c>
      <c r="H74" s="1">
        <v>5.578418778624</v>
      </c>
      <c r="I74" s="1">
        <v>199</v>
      </c>
      <c r="S74" s="1">
        <v>42331.444444444445</v>
      </c>
      <c r="T74" s="1">
        <v>17.669712273407999</v>
      </c>
      <c r="U74" s="1">
        <v>1720</v>
      </c>
      <c r="V74" s="1">
        <v>8.96376857246592</v>
      </c>
    </row>
    <row r="75" spans="1:22" x14ac:dyDescent="0.25">
      <c r="A75" s="1">
        <v>42331.454861111109</v>
      </c>
      <c r="B75" s="1">
        <v>17.216642727935998</v>
      </c>
      <c r="C75" s="1">
        <v>1590</v>
      </c>
      <c r="G75" s="1">
        <v>42331.805555555555</v>
      </c>
      <c r="H75" s="1">
        <v>5.6633693184</v>
      </c>
      <c r="I75" s="1">
        <v>201</v>
      </c>
      <c r="S75" s="1">
        <v>42331.447916666664</v>
      </c>
      <c r="T75" s="1">
        <v>17.584761733632</v>
      </c>
      <c r="U75" s="1">
        <v>1670</v>
      </c>
      <c r="V75" s="1">
        <v>8.6144519712837102</v>
      </c>
    </row>
    <row r="76" spans="1:22" x14ac:dyDescent="0.25">
      <c r="A76" s="1">
        <v>42331.458333333336</v>
      </c>
      <c r="B76" s="1">
        <v>17.499811193856001</v>
      </c>
      <c r="C76" s="1">
        <v>1540</v>
      </c>
      <c r="G76" s="1">
        <v>42331.802083333336</v>
      </c>
      <c r="H76" s="1">
        <v>5.7200030115839997</v>
      </c>
      <c r="I76" s="1">
        <v>205</v>
      </c>
      <c r="S76" s="1">
        <v>42331.451388888891</v>
      </c>
      <c r="T76" s="1">
        <v>17.216642727935998</v>
      </c>
      <c r="U76" s="1">
        <v>1630</v>
      </c>
      <c r="V76" s="1">
        <v>8.315638429848546</v>
      </c>
    </row>
    <row r="77" spans="1:22" x14ac:dyDescent="0.25">
      <c r="A77" s="1">
        <v>42331.461805555555</v>
      </c>
      <c r="B77" s="1">
        <v>17.754662813184002</v>
      </c>
      <c r="C77" s="1">
        <v>1500</v>
      </c>
      <c r="G77" s="1">
        <v>42331.798611111109</v>
      </c>
      <c r="H77" s="1">
        <v>5.7200030115839997</v>
      </c>
      <c r="I77" s="1">
        <v>210</v>
      </c>
      <c r="S77" s="1">
        <v>42331.454861111109</v>
      </c>
      <c r="T77" s="1">
        <v>17.216642727935998</v>
      </c>
      <c r="U77" s="1">
        <v>1590</v>
      </c>
      <c r="V77" s="1">
        <v>8.1486256858797219</v>
      </c>
    </row>
    <row r="78" spans="1:22" x14ac:dyDescent="0.25">
      <c r="A78" s="1">
        <v>42331.465277777781</v>
      </c>
      <c r="B78" s="1">
        <v>18.12278181888</v>
      </c>
      <c r="C78" s="1">
        <v>1460</v>
      </c>
      <c r="G78" s="1">
        <v>42331.795138888891</v>
      </c>
      <c r="H78" s="1">
        <v>5.7766367047680003</v>
      </c>
      <c r="I78" s="1">
        <v>215</v>
      </c>
      <c r="S78" s="1">
        <v>42331.458333333336</v>
      </c>
      <c r="T78" s="1">
        <v>17.499811193856001</v>
      </c>
      <c r="U78" s="1">
        <v>1540</v>
      </c>
      <c r="V78" s="1">
        <v>8.0372555112618596</v>
      </c>
    </row>
    <row r="79" spans="1:22" x14ac:dyDescent="0.25">
      <c r="A79" s="1">
        <v>42331.46875</v>
      </c>
      <c r="B79" s="1">
        <v>18.405950284799999</v>
      </c>
      <c r="C79" s="1">
        <v>1410</v>
      </c>
      <c r="G79" s="1">
        <v>42331.791666666664</v>
      </c>
      <c r="H79" s="1">
        <v>5.8049535513600006</v>
      </c>
      <c r="I79" s="1">
        <v>220</v>
      </c>
      <c r="S79" s="1">
        <v>42331.461805555555</v>
      </c>
      <c r="T79" s="1">
        <v>17.754662813184002</v>
      </c>
      <c r="U79" s="1">
        <v>1500</v>
      </c>
      <c r="V79" s="1">
        <v>7.9636883605720739</v>
      </c>
    </row>
    <row r="80" spans="1:22" x14ac:dyDescent="0.25">
      <c r="A80" s="1">
        <v>42331.472222222219</v>
      </c>
      <c r="B80" s="1">
        <v>18.519217671168001</v>
      </c>
      <c r="C80" s="1">
        <v>1370</v>
      </c>
      <c r="G80" s="1">
        <v>42331.788194444445</v>
      </c>
      <c r="H80" s="1">
        <v>5.8049535513600006</v>
      </c>
      <c r="I80" s="1">
        <v>224</v>
      </c>
      <c r="S80" s="1">
        <v>42331.465277777781</v>
      </c>
      <c r="T80" s="1">
        <v>18.12278181888</v>
      </c>
      <c r="U80" s="1">
        <v>1460</v>
      </c>
      <c r="V80" s="1">
        <v>7.8617476962480968</v>
      </c>
    </row>
    <row r="81" spans="1:22" x14ac:dyDescent="0.25">
      <c r="A81" s="1">
        <v>42331.475694444445</v>
      </c>
      <c r="B81" s="1">
        <v>18.802386137088</v>
      </c>
      <c r="C81" s="1">
        <v>1320</v>
      </c>
      <c r="G81" s="1">
        <v>42331.784722222219</v>
      </c>
      <c r="H81" s="1">
        <v>5.8615872445440003</v>
      </c>
      <c r="I81" s="1">
        <v>229</v>
      </c>
      <c r="S81" s="1">
        <v>42331.46875</v>
      </c>
      <c r="T81" s="1">
        <v>18.405950284799999</v>
      </c>
      <c r="U81" s="1">
        <v>1410</v>
      </c>
      <c r="V81" s="1">
        <v>7.698557709490383</v>
      </c>
    </row>
    <row r="82" spans="1:22" x14ac:dyDescent="0.25">
      <c r="A82" s="1">
        <v>42331.479166666664</v>
      </c>
      <c r="B82" s="1">
        <v>18.689118750720002</v>
      </c>
      <c r="C82" s="1">
        <v>1280</v>
      </c>
      <c r="G82" s="1">
        <v>42331.78125</v>
      </c>
      <c r="H82" s="1">
        <v>5.9182209377280008</v>
      </c>
      <c r="I82" s="1">
        <v>234</v>
      </c>
      <c r="S82" s="1">
        <v>42331.472222222219</v>
      </c>
      <c r="T82" s="1">
        <v>18.519217671168001</v>
      </c>
      <c r="U82" s="1">
        <v>1370</v>
      </c>
      <c r="V82" s="1">
        <v>7.5285716953328601</v>
      </c>
    </row>
    <row r="83" spans="1:22" x14ac:dyDescent="0.25">
      <c r="A83" s="1">
        <v>42331.482638888891</v>
      </c>
      <c r="B83" s="1">
        <v>18.802386137088</v>
      </c>
      <c r="C83" s="1">
        <v>1240</v>
      </c>
      <c r="G83" s="1">
        <v>42331.777777777781</v>
      </c>
      <c r="H83" s="1">
        <v>5.9465377843200002</v>
      </c>
      <c r="I83" s="1">
        <v>239</v>
      </c>
      <c r="S83" s="1">
        <v>42331.475694444445</v>
      </c>
      <c r="T83" s="1">
        <v>18.802386137088</v>
      </c>
      <c r="U83" s="1">
        <v>1320</v>
      </c>
      <c r="V83" s="1">
        <v>7.3111832484725943</v>
      </c>
    </row>
    <row r="84" spans="1:22" x14ac:dyDescent="0.25">
      <c r="A84" s="1">
        <v>42331.486111111109</v>
      </c>
      <c r="B84" s="1">
        <v>18.689118750720002</v>
      </c>
      <c r="C84" s="1">
        <v>1190</v>
      </c>
      <c r="G84" s="1">
        <v>42331.774305555555</v>
      </c>
      <c r="H84" s="1">
        <v>6.0031714775039999</v>
      </c>
      <c r="I84" s="1">
        <v>243</v>
      </c>
      <c r="S84" s="1">
        <v>42331.479166666664</v>
      </c>
      <c r="T84" s="1">
        <v>18.689118750720002</v>
      </c>
      <c r="U84" s="1">
        <v>1280</v>
      </c>
      <c r="V84" s="1">
        <v>7.0855546298852801</v>
      </c>
    </row>
    <row r="85" spans="1:22" x14ac:dyDescent="0.25">
      <c r="A85" s="1">
        <v>42331.489583333336</v>
      </c>
      <c r="B85" s="1">
        <v>18.320999745024</v>
      </c>
      <c r="C85" s="1">
        <v>1150</v>
      </c>
      <c r="G85" s="1">
        <v>42331.770833333336</v>
      </c>
      <c r="H85" s="1">
        <v>6.0598051706880005</v>
      </c>
      <c r="I85" s="1">
        <v>248</v>
      </c>
      <c r="S85" s="1">
        <v>42331.482638888891</v>
      </c>
      <c r="T85" s="1">
        <v>18.802386137088</v>
      </c>
      <c r="U85" s="1">
        <v>1240</v>
      </c>
      <c r="V85" s="1">
        <v>6.8332515121379274</v>
      </c>
    </row>
    <row r="86" spans="1:22" x14ac:dyDescent="0.25">
      <c r="A86" s="1">
        <v>42331.493055555555</v>
      </c>
      <c r="B86" s="1">
        <v>18.12278181888</v>
      </c>
      <c r="C86" s="1">
        <v>1100</v>
      </c>
      <c r="G86" s="1">
        <v>42331.767361111109</v>
      </c>
      <c r="H86" s="1">
        <v>6.0881220172800008</v>
      </c>
      <c r="I86" s="1">
        <v>253</v>
      </c>
      <c r="S86" s="1">
        <v>42331.486111111109</v>
      </c>
      <c r="T86" s="1">
        <v>18.689118750720002</v>
      </c>
      <c r="U86" s="1">
        <v>1190</v>
      </c>
      <c r="V86" s="1">
        <v>6.4963801605829428</v>
      </c>
    </row>
    <row r="87" spans="1:22" x14ac:dyDescent="0.25">
      <c r="A87" s="1">
        <v>42331.496527777781</v>
      </c>
      <c r="B87" s="1">
        <v>17.867930199551999</v>
      </c>
      <c r="C87" s="1">
        <v>1060</v>
      </c>
      <c r="G87" s="1">
        <v>42331.763888888891</v>
      </c>
      <c r="H87" s="1">
        <v>6.1447557104639996</v>
      </c>
      <c r="I87" s="1">
        <v>258</v>
      </c>
      <c r="S87" s="1">
        <v>42331.489583333336</v>
      </c>
      <c r="T87" s="1">
        <v>18.320999745024</v>
      </c>
      <c r="U87" s="1">
        <v>1150</v>
      </c>
      <c r="V87" s="1">
        <v>6.1506314504036181</v>
      </c>
    </row>
    <row r="88" spans="1:22" x14ac:dyDescent="0.25">
      <c r="A88" s="1">
        <v>42331.5</v>
      </c>
      <c r="B88" s="1">
        <v>17.386543807488</v>
      </c>
      <c r="C88" s="1">
        <v>1020</v>
      </c>
      <c r="G88" s="1">
        <v>42331.760416666664</v>
      </c>
      <c r="H88" s="1">
        <v>6.2013894036480002</v>
      </c>
      <c r="I88" s="1">
        <v>262</v>
      </c>
      <c r="S88" s="1">
        <v>42331.493055555555</v>
      </c>
      <c r="T88" s="1">
        <v>18.12278181888</v>
      </c>
      <c r="U88" s="1">
        <v>1100</v>
      </c>
      <c r="V88" s="1">
        <v>5.8312599086324477</v>
      </c>
    </row>
    <row r="89" spans="1:22" x14ac:dyDescent="0.25">
      <c r="A89" s="1">
        <v>42331.503472222219</v>
      </c>
      <c r="B89" s="1">
        <v>17.018424801792001</v>
      </c>
      <c r="C89" s="1">
        <v>972</v>
      </c>
      <c r="G89" s="1">
        <v>42331.756944444445</v>
      </c>
      <c r="H89" s="1">
        <v>6.1447557104639996</v>
      </c>
      <c r="I89" s="1">
        <v>267</v>
      </c>
      <c r="S89" s="1">
        <v>42331.496527777781</v>
      </c>
      <c r="T89" s="1">
        <v>17.867930199551999</v>
      </c>
      <c r="U89" s="1">
        <v>1060</v>
      </c>
      <c r="V89" s="1">
        <v>5.5011420991510933</v>
      </c>
    </row>
    <row r="90" spans="1:22" x14ac:dyDescent="0.25">
      <c r="A90" s="1">
        <v>42331.506944444445</v>
      </c>
      <c r="B90" s="1">
        <v>16.763573182464</v>
      </c>
      <c r="C90" s="1">
        <v>929</v>
      </c>
      <c r="G90" s="1">
        <v>42331.753472222219</v>
      </c>
      <c r="H90" s="1">
        <v>6.2863399434240002</v>
      </c>
      <c r="I90" s="1">
        <v>272</v>
      </c>
      <c r="S90" s="1">
        <v>42331.5</v>
      </c>
      <c r="T90" s="1">
        <v>17.386543807488</v>
      </c>
      <c r="U90" s="1">
        <v>1020</v>
      </c>
      <c r="V90" s="1">
        <v>5.1414275338586108</v>
      </c>
    </row>
    <row r="91" spans="1:22" x14ac:dyDescent="0.25">
      <c r="A91" s="1">
        <v>42331.510416666664</v>
      </c>
      <c r="B91" s="1">
        <v>16.395454176768002</v>
      </c>
      <c r="C91" s="1">
        <v>902</v>
      </c>
      <c r="G91" s="1">
        <v>42331.75</v>
      </c>
      <c r="H91" s="1">
        <v>6.2863399434240002</v>
      </c>
      <c r="I91" s="1">
        <v>277</v>
      </c>
      <c r="S91" s="1">
        <v>42331.503472222219</v>
      </c>
      <c r="T91" s="1">
        <v>17.018424801792001</v>
      </c>
      <c r="U91" s="1">
        <v>972</v>
      </c>
      <c r="V91" s="1">
        <v>4.8172902646856963</v>
      </c>
    </row>
    <row r="92" spans="1:22" x14ac:dyDescent="0.25">
      <c r="A92" s="1">
        <v>42331.513888888891</v>
      </c>
      <c r="B92" s="1">
        <v>16.055652017664002</v>
      </c>
      <c r="C92" s="1">
        <v>876</v>
      </c>
      <c r="G92" s="1">
        <v>42331.746527777781</v>
      </c>
      <c r="H92" s="1">
        <v>6.3712904832000001</v>
      </c>
      <c r="I92" s="1">
        <v>281</v>
      </c>
      <c r="S92" s="1">
        <v>42331.506944444445</v>
      </c>
      <c r="T92" s="1">
        <v>16.763573182464</v>
      </c>
      <c r="U92" s="1">
        <v>929</v>
      </c>
      <c r="V92" s="1">
        <v>4.5543088688515381</v>
      </c>
    </row>
    <row r="93" spans="1:22" x14ac:dyDescent="0.25">
      <c r="A93" s="1">
        <v>42331.517361111109</v>
      </c>
      <c r="B93" s="1">
        <v>15.71584985856</v>
      </c>
      <c r="C93" s="1">
        <v>850</v>
      </c>
      <c r="G93" s="1">
        <v>42331.743055555555</v>
      </c>
      <c r="H93" s="1">
        <v>6.3712904832000001</v>
      </c>
      <c r="I93" s="1">
        <v>286</v>
      </c>
      <c r="S93" s="1">
        <v>42331.510416666664</v>
      </c>
      <c r="T93" s="1">
        <v>16.395454176768002</v>
      </c>
      <c r="U93" s="1">
        <v>902</v>
      </c>
      <c r="V93" s="1">
        <v>4.3280176302762365</v>
      </c>
    </row>
    <row r="94" spans="1:22" x14ac:dyDescent="0.25">
      <c r="A94" s="1">
        <v>42331.520833333336</v>
      </c>
      <c r="B94" s="1">
        <v>15.376047699456</v>
      </c>
      <c r="C94" s="1">
        <v>824</v>
      </c>
      <c r="G94" s="1">
        <v>42331.739583333336</v>
      </c>
      <c r="H94" s="1">
        <v>6.4279241763839998</v>
      </c>
      <c r="I94" s="1">
        <v>291</v>
      </c>
      <c r="S94" s="1">
        <v>42331.513888888891</v>
      </c>
      <c r="T94" s="1">
        <v>16.055652017664002</v>
      </c>
      <c r="U94" s="1">
        <v>876</v>
      </c>
      <c r="V94" s="1">
        <v>4.1134835282564701</v>
      </c>
    </row>
    <row r="95" spans="1:22" x14ac:dyDescent="0.25">
      <c r="A95" s="1">
        <v>42331.524305555555</v>
      </c>
      <c r="B95" s="1">
        <v>15.036245540352001</v>
      </c>
      <c r="C95" s="1">
        <v>798</v>
      </c>
      <c r="G95" s="1">
        <v>42331.736111111109</v>
      </c>
      <c r="H95" s="1">
        <v>6.5411915627520001</v>
      </c>
      <c r="I95" s="1">
        <v>296</v>
      </c>
      <c r="S95" s="1">
        <v>42331.517361111109</v>
      </c>
      <c r="T95" s="1">
        <v>15.71584985856</v>
      </c>
      <c r="U95" s="1">
        <v>850</v>
      </c>
      <c r="V95" s="1">
        <v>3.9042503571643072</v>
      </c>
    </row>
    <row r="96" spans="1:22" x14ac:dyDescent="0.25">
      <c r="A96" s="1">
        <v>42331.527777777781</v>
      </c>
      <c r="B96" s="1">
        <v>14.696443381248001</v>
      </c>
      <c r="C96" s="1">
        <v>772</v>
      </c>
      <c r="G96" s="1">
        <v>42331.732638888891</v>
      </c>
      <c r="H96" s="1">
        <v>6.5695084093440004</v>
      </c>
      <c r="I96" s="1">
        <v>300</v>
      </c>
      <c r="S96" s="1">
        <v>42331.520833333336</v>
      </c>
      <c r="T96" s="1">
        <v>15.376047699456</v>
      </c>
      <c r="U96" s="1">
        <v>824</v>
      </c>
      <c r="V96" s="1">
        <v>3.7003180833867062</v>
      </c>
    </row>
    <row r="97" spans="1:22" x14ac:dyDescent="0.25">
      <c r="A97" s="1">
        <v>42331.53125</v>
      </c>
      <c r="B97" s="1">
        <v>14.384958068736001</v>
      </c>
      <c r="C97" s="1">
        <v>746</v>
      </c>
      <c r="G97" s="1">
        <v>42331.729166666664</v>
      </c>
      <c r="H97" s="1">
        <v>6.5695084093440004</v>
      </c>
      <c r="I97" s="1">
        <v>305</v>
      </c>
      <c r="S97" s="1">
        <v>42331.524305555555</v>
      </c>
      <c r="T97" s="1">
        <v>15.036245540352001</v>
      </c>
      <c r="U97" s="1">
        <v>798</v>
      </c>
      <c r="V97" s="1">
        <v>3.5016867388051529</v>
      </c>
    </row>
    <row r="98" spans="1:22" x14ac:dyDescent="0.25">
      <c r="A98" s="1">
        <v>42331.534722222219</v>
      </c>
      <c r="B98" s="1">
        <v>14.045155909631999</v>
      </c>
      <c r="C98" s="1">
        <v>824</v>
      </c>
      <c r="G98" s="1">
        <v>42331.725694444445</v>
      </c>
      <c r="H98" s="1">
        <v>6.6827757957120006</v>
      </c>
      <c r="I98" s="1">
        <v>310</v>
      </c>
      <c r="S98" s="1">
        <v>42331.527777777781</v>
      </c>
      <c r="T98" s="1">
        <v>14.696443381248001</v>
      </c>
      <c r="U98" s="1">
        <v>772</v>
      </c>
      <c r="V98" s="1">
        <v>3.3115249483559794</v>
      </c>
    </row>
    <row r="99" spans="1:22" x14ac:dyDescent="0.25">
      <c r="A99" s="1">
        <v>42331.538194444445</v>
      </c>
      <c r="B99" s="1">
        <v>13.733670597120001</v>
      </c>
      <c r="C99" s="1">
        <v>905</v>
      </c>
      <c r="G99" s="1">
        <v>42331.722222222219</v>
      </c>
      <c r="H99" s="1">
        <v>6.626142102528001</v>
      </c>
      <c r="I99" s="1">
        <v>315</v>
      </c>
      <c r="S99" s="1">
        <v>42331.53125</v>
      </c>
      <c r="T99" s="1">
        <v>14.384958068736001</v>
      </c>
      <c r="U99" s="1">
        <v>746</v>
      </c>
      <c r="V99" s="1">
        <v>3.3456580752061869</v>
      </c>
    </row>
    <row r="100" spans="1:22" x14ac:dyDescent="0.25">
      <c r="A100" s="1">
        <v>42331.541666666664</v>
      </c>
      <c r="B100" s="1">
        <v>13.422185284608</v>
      </c>
      <c r="C100" s="1">
        <v>986</v>
      </c>
      <c r="G100" s="1">
        <v>42331.71875</v>
      </c>
      <c r="H100" s="1">
        <v>6.7394094888959994</v>
      </c>
      <c r="I100" s="1">
        <v>319</v>
      </c>
      <c r="S100" s="1">
        <v>42331.534722222219</v>
      </c>
      <c r="T100" s="1">
        <v>14.045155909631999</v>
      </c>
      <c r="U100" s="1">
        <v>824</v>
      </c>
      <c r="V100" s="1">
        <v>3.6003270581808877</v>
      </c>
    </row>
    <row r="101" spans="1:22" x14ac:dyDescent="0.25">
      <c r="A101" s="1">
        <v>42331.545138888891</v>
      </c>
      <c r="B101" s="1">
        <v>13.195650511872</v>
      </c>
      <c r="C101" s="1">
        <v>1070</v>
      </c>
      <c r="G101" s="1">
        <v>42331.715277777781</v>
      </c>
      <c r="H101" s="1">
        <v>6.79604318208</v>
      </c>
      <c r="I101" s="1">
        <v>324</v>
      </c>
      <c r="S101" s="1">
        <v>42331.538194444445</v>
      </c>
      <c r="T101" s="1">
        <v>13.733670597120001</v>
      </c>
      <c r="U101" s="1">
        <v>905</v>
      </c>
      <c r="V101" s="1">
        <v>3.8494869835674494</v>
      </c>
    </row>
    <row r="102" spans="1:22" x14ac:dyDescent="0.25">
      <c r="A102" s="1">
        <v>42331.548611111109</v>
      </c>
      <c r="B102" s="1">
        <v>12.88416519936</v>
      </c>
      <c r="C102" s="1">
        <v>1150</v>
      </c>
      <c r="G102" s="1">
        <v>42331.711805555555</v>
      </c>
      <c r="H102" s="1">
        <v>6.8243600286720003</v>
      </c>
      <c r="I102" s="1">
        <v>329</v>
      </c>
      <c r="S102" s="1">
        <v>42331.541666666664</v>
      </c>
      <c r="T102" s="1">
        <v>13.422185284608</v>
      </c>
      <c r="U102" s="1">
        <v>986</v>
      </c>
      <c r="V102" s="1">
        <v>4.1030431155255505</v>
      </c>
    </row>
    <row r="103" spans="1:22" x14ac:dyDescent="0.25">
      <c r="A103" s="1">
        <v>42331.552083333336</v>
      </c>
      <c r="B103" s="1">
        <v>12.657630426624001</v>
      </c>
      <c r="C103" s="1">
        <v>1230</v>
      </c>
      <c r="G103" s="1">
        <v>42331.708333333336</v>
      </c>
      <c r="H103" s="1">
        <v>6.880993721856</v>
      </c>
      <c r="I103" s="1">
        <v>334</v>
      </c>
      <c r="S103" s="1">
        <v>42331.545138888891</v>
      </c>
      <c r="T103" s="1">
        <v>13.195650511872</v>
      </c>
      <c r="U103" s="1">
        <v>1070</v>
      </c>
      <c r="V103" s="1">
        <v>4.3404204000027251</v>
      </c>
    </row>
    <row r="104" spans="1:22" x14ac:dyDescent="0.25">
      <c r="A104" s="1">
        <v>42331.555555555555</v>
      </c>
      <c r="B104" s="1">
        <v>12.374461960704</v>
      </c>
      <c r="C104" s="1">
        <v>1240</v>
      </c>
      <c r="G104" s="1">
        <v>42331.704861111109</v>
      </c>
      <c r="H104" s="1">
        <v>6.9942611082240003</v>
      </c>
      <c r="I104" s="1">
        <v>338</v>
      </c>
      <c r="S104" s="1">
        <v>42331.548611111109</v>
      </c>
      <c r="T104" s="1">
        <v>12.88416519936</v>
      </c>
      <c r="U104" s="1">
        <v>1150</v>
      </c>
      <c r="V104" s="1">
        <v>4.557851315907766</v>
      </c>
    </row>
    <row r="105" spans="1:22" x14ac:dyDescent="0.25">
      <c r="A105" s="1">
        <v>42331.559027777781</v>
      </c>
      <c r="B105" s="1">
        <v>12.147927187968</v>
      </c>
      <c r="C105" s="1">
        <v>1130</v>
      </c>
      <c r="G105" s="1">
        <v>42331.701388888891</v>
      </c>
      <c r="H105" s="1">
        <v>7.0508948014080008</v>
      </c>
      <c r="I105" s="1">
        <v>343</v>
      </c>
      <c r="S105" s="1">
        <v>42331.552083333336</v>
      </c>
      <c r="T105" s="1">
        <v>12.657630426624001</v>
      </c>
      <c r="U105" s="1">
        <v>1230</v>
      </c>
      <c r="V105" s="1">
        <v>4.6369827340845458</v>
      </c>
    </row>
    <row r="106" spans="1:22" x14ac:dyDescent="0.25">
      <c r="A106" s="1">
        <v>42331.5625</v>
      </c>
      <c r="B106" s="1">
        <v>11.921392415231999</v>
      </c>
      <c r="C106" s="1">
        <v>1110</v>
      </c>
      <c r="G106" s="1">
        <v>42331.697916666664</v>
      </c>
      <c r="H106" s="1">
        <v>7.0792116480000002</v>
      </c>
      <c r="I106" s="1">
        <v>348</v>
      </c>
      <c r="S106" s="1">
        <v>42331.555555555555</v>
      </c>
      <c r="T106" s="1">
        <v>12.374461960704</v>
      </c>
      <c r="U106" s="1">
        <v>1240</v>
      </c>
      <c r="V106" s="1">
        <v>4.3607235881280708</v>
      </c>
    </row>
    <row r="107" spans="1:22" x14ac:dyDescent="0.25">
      <c r="A107" s="1">
        <v>42331.565972222219</v>
      </c>
      <c r="B107" s="1">
        <v>11.638223949312</v>
      </c>
      <c r="C107" s="1">
        <v>1160</v>
      </c>
      <c r="G107" s="1">
        <v>42331.694444444445</v>
      </c>
      <c r="H107" s="1">
        <v>7.1358453411839999</v>
      </c>
      <c r="I107" s="1">
        <v>353</v>
      </c>
      <c r="S107" s="1">
        <v>42331.559027777781</v>
      </c>
      <c r="T107" s="1">
        <v>12.147927187968</v>
      </c>
      <c r="U107" s="1">
        <v>1130</v>
      </c>
      <c r="V107" s="1">
        <v>4.0439854917304494</v>
      </c>
    </row>
    <row r="108" spans="1:22" x14ac:dyDescent="0.25">
      <c r="A108" s="1">
        <v>42331.569444444445</v>
      </c>
      <c r="B108" s="1">
        <v>11.440006023167999</v>
      </c>
      <c r="C108" s="1">
        <v>1060</v>
      </c>
      <c r="G108" s="1">
        <v>42331.690972222219</v>
      </c>
      <c r="H108" s="1">
        <v>7.1924790343680005</v>
      </c>
      <c r="I108" s="1">
        <v>357</v>
      </c>
      <c r="S108" s="1">
        <v>42331.5625</v>
      </c>
      <c r="T108" s="1">
        <v>11.921392415231999</v>
      </c>
      <c r="U108" s="1">
        <v>1110</v>
      </c>
      <c r="V108" s="1">
        <v>4.0099628005818468</v>
      </c>
    </row>
    <row r="109" spans="1:22" x14ac:dyDescent="0.25">
      <c r="A109" s="1">
        <v>42331.572916666664</v>
      </c>
      <c r="B109" s="1">
        <v>11.156837557248</v>
      </c>
      <c r="C109" s="1">
        <v>1020</v>
      </c>
      <c r="G109" s="1">
        <v>42331.6875</v>
      </c>
      <c r="H109" s="1">
        <v>7.2491127275520002</v>
      </c>
      <c r="I109" s="1">
        <v>362</v>
      </c>
      <c r="S109" s="1">
        <v>42331.565972222219</v>
      </c>
      <c r="T109" s="1">
        <v>11.638223949312</v>
      </c>
      <c r="U109" s="1">
        <v>1160</v>
      </c>
      <c r="V109" s="1">
        <v>3.8440119293390191</v>
      </c>
    </row>
    <row r="110" spans="1:22" x14ac:dyDescent="0.25">
      <c r="A110" s="1">
        <v>42331.576388888891</v>
      </c>
      <c r="B110" s="1">
        <v>11.015253324288</v>
      </c>
      <c r="C110" s="1">
        <v>987</v>
      </c>
      <c r="G110" s="1">
        <v>42331.684027777781</v>
      </c>
      <c r="H110" s="1">
        <v>7.3057464207359999</v>
      </c>
      <c r="I110" s="1">
        <v>367</v>
      </c>
      <c r="S110" s="1">
        <v>42331.569444444445</v>
      </c>
      <c r="T110" s="1">
        <v>11.440006023167999</v>
      </c>
      <c r="U110" s="1">
        <v>1060</v>
      </c>
      <c r="V110" s="1">
        <v>3.5259571006588528</v>
      </c>
    </row>
    <row r="111" spans="1:22" x14ac:dyDescent="0.25">
      <c r="A111" s="1">
        <v>42331.579861111109</v>
      </c>
      <c r="B111" s="1">
        <v>10.817035398144</v>
      </c>
      <c r="C111" s="1">
        <v>953</v>
      </c>
      <c r="G111" s="1">
        <v>42331.680555555555</v>
      </c>
      <c r="H111" s="1">
        <v>7.4190138071040002</v>
      </c>
      <c r="I111" s="1">
        <v>372</v>
      </c>
      <c r="S111" s="1">
        <v>42331.572916666664</v>
      </c>
      <c r="T111" s="1">
        <v>11.156837557248</v>
      </c>
      <c r="U111" s="1">
        <v>1020</v>
      </c>
      <c r="V111" s="1">
        <v>3.3378044048054987</v>
      </c>
    </row>
    <row r="112" spans="1:22" x14ac:dyDescent="0.25">
      <c r="A112" s="1">
        <v>42331.583333333336</v>
      </c>
      <c r="B112" s="1">
        <v>10.533866932224001</v>
      </c>
      <c r="C112" s="1">
        <v>918</v>
      </c>
      <c r="G112" s="1">
        <v>42331.677083333336</v>
      </c>
      <c r="H112" s="1">
        <v>7.4756475002880007</v>
      </c>
      <c r="I112" s="1">
        <v>385</v>
      </c>
      <c r="S112" s="1">
        <v>42331.576388888891</v>
      </c>
      <c r="T112" s="1">
        <v>11.015253324288</v>
      </c>
      <c r="U112" s="1">
        <v>987</v>
      </c>
      <c r="V112" s="1">
        <v>3.1771034618666154</v>
      </c>
    </row>
    <row r="113" spans="1:22" x14ac:dyDescent="0.25">
      <c r="A113" s="1">
        <v>42331.586805555555</v>
      </c>
      <c r="B113" s="1">
        <v>10.47723323904</v>
      </c>
      <c r="C113" s="1">
        <v>892</v>
      </c>
      <c r="G113" s="1">
        <v>42331.673611111109</v>
      </c>
      <c r="H113" s="1">
        <v>7.5039643468800001</v>
      </c>
      <c r="I113" s="1">
        <v>399</v>
      </c>
      <c r="S113" s="1">
        <v>42331.579861111109</v>
      </c>
      <c r="T113" s="1">
        <v>10.817035398144</v>
      </c>
      <c r="U113" s="1">
        <v>953</v>
      </c>
      <c r="V113" s="1">
        <v>2.996808690220675</v>
      </c>
    </row>
    <row r="114" spans="1:22" x14ac:dyDescent="0.25">
      <c r="A114" s="1">
        <v>42331.590277777781</v>
      </c>
      <c r="B114" s="1">
        <v>10.279015312896002</v>
      </c>
      <c r="C114" s="1">
        <v>865</v>
      </c>
      <c r="G114" s="1">
        <v>42331.670138888891</v>
      </c>
      <c r="H114" s="1">
        <v>7.6738654264320001</v>
      </c>
      <c r="I114" s="1">
        <v>413</v>
      </c>
      <c r="S114" s="1">
        <v>42331.583333333336</v>
      </c>
      <c r="T114" s="1">
        <v>10.533866932224001</v>
      </c>
      <c r="U114" s="1">
        <v>918</v>
      </c>
      <c r="V114" s="1">
        <v>2.8523672812943226</v>
      </c>
    </row>
    <row r="115" spans="1:22" x14ac:dyDescent="0.25">
      <c r="A115" s="1">
        <v>42331.59375</v>
      </c>
      <c r="B115" s="1">
        <v>10.024163693567999</v>
      </c>
      <c r="C115" s="1">
        <v>839</v>
      </c>
      <c r="G115" s="1">
        <v>42331.666666666664</v>
      </c>
      <c r="H115" s="1">
        <v>7.7304991196159998</v>
      </c>
      <c r="I115" s="1">
        <v>427</v>
      </c>
      <c r="S115" s="1">
        <v>42331.586805555555</v>
      </c>
      <c r="T115" s="1">
        <v>10.47723323904</v>
      </c>
      <c r="U115" s="1">
        <v>892</v>
      </c>
      <c r="V115" s="1">
        <v>2.7355560474164151</v>
      </c>
    </row>
    <row r="116" spans="1:22" x14ac:dyDescent="0.25">
      <c r="A116" s="1">
        <v>42331.597222222219</v>
      </c>
      <c r="B116" s="1">
        <v>9.8259457674240007</v>
      </c>
      <c r="C116" s="1">
        <v>813</v>
      </c>
      <c r="G116" s="1">
        <v>42331.663194444445</v>
      </c>
      <c r="H116" s="1">
        <v>7.9004001991680006</v>
      </c>
      <c r="I116" s="1">
        <v>440</v>
      </c>
      <c r="S116" s="1">
        <v>42331.590277777781</v>
      </c>
      <c r="T116" s="1">
        <v>10.279015312896002</v>
      </c>
      <c r="U116" s="1">
        <v>865</v>
      </c>
      <c r="V116" s="1">
        <v>2.5952432352667802</v>
      </c>
    </row>
    <row r="117" spans="1:22" x14ac:dyDescent="0.25">
      <c r="A117" s="1">
        <v>42331.600694444445</v>
      </c>
      <c r="B117" s="1">
        <v>9.7409952276479999</v>
      </c>
      <c r="C117" s="1">
        <v>786</v>
      </c>
      <c r="G117" s="1">
        <v>42331.659722222219</v>
      </c>
      <c r="H117" s="1">
        <v>7.9570338923520003</v>
      </c>
      <c r="I117" s="1">
        <v>454</v>
      </c>
      <c r="S117" s="1">
        <v>42331.59375</v>
      </c>
      <c r="T117" s="1">
        <v>10.024163693567999</v>
      </c>
      <c r="U117" s="1">
        <v>839</v>
      </c>
      <c r="V117" s="1">
        <v>2.459815084882008</v>
      </c>
    </row>
    <row r="118" spans="1:22" x14ac:dyDescent="0.25">
      <c r="A118" s="1">
        <v>42331.604166666664</v>
      </c>
      <c r="B118" s="1">
        <v>9.6277278412800005</v>
      </c>
      <c r="C118" s="1">
        <v>760</v>
      </c>
      <c r="G118" s="1">
        <v>42331.65625</v>
      </c>
      <c r="H118" s="1">
        <v>8.013667585536</v>
      </c>
      <c r="I118" s="1">
        <v>468</v>
      </c>
      <c r="S118" s="1">
        <v>42331.597222222219</v>
      </c>
      <c r="T118" s="1">
        <v>9.8259457674240007</v>
      </c>
      <c r="U118" s="1">
        <v>813</v>
      </c>
      <c r="V118" s="1">
        <v>2.3467374264090184</v>
      </c>
    </row>
    <row r="119" spans="1:22" x14ac:dyDescent="0.25">
      <c r="A119" s="1">
        <v>42331.607638888891</v>
      </c>
      <c r="B119" s="1">
        <v>9.4295099151360002</v>
      </c>
      <c r="C119" s="1">
        <v>734</v>
      </c>
      <c r="G119" s="1">
        <v>42331.652777777781</v>
      </c>
      <c r="H119" s="1">
        <v>8.1269349719039994</v>
      </c>
      <c r="I119" s="1">
        <v>482</v>
      </c>
      <c r="S119" s="1">
        <v>42331.600694444445</v>
      </c>
      <c r="T119" s="1">
        <v>9.7409952276479999</v>
      </c>
      <c r="U119" s="1">
        <v>786</v>
      </c>
      <c r="V119" s="1">
        <v>2.2460243091538463</v>
      </c>
    </row>
    <row r="120" spans="1:22" x14ac:dyDescent="0.25">
      <c r="A120" s="1">
        <v>42331.611111111109</v>
      </c>
      <c r="B120" s="1">
        <v>9.3728762219519997</v>
      </c>
      <c r="C120" s="1">
        <v>707</v>
      </c>
      <c r="G120" s="1">
        <v>42331.649305555555</v>
      </c>
      <c r="H120" s="1">
        <v>8.183568665088</v>
      </c>
      <c r="I120" s="1">
        <v>495</v>
      </c>
      <c r="S120" s="1">
        <v>42331.604166666664</v>
      </c>
      <c r="T120" s="1">
        <v>9.6277278412800005</v>
      </c>
      <c r="U120" s="1">
        <v>760</v>
      </c>
      <c r="V120" s="1">
        <v>2.1357500180487343</v>
      </c>
    </row>
    <row r="121" spans="1:22" x14ac:dyDescent="0.25">
      <c r="A121" s="1">
        <v>42331.614583333336</v>
      </c>
      <c r="B121" s="1">
        <v>9.2029751423999997</v>
      </c>
      <c r="C121" s="1">
        <v>687</v>
      </c>
      <c r="G121" s="1">
        <v>42331.645833333336</v>
      </c>
      <c r="H121" s="1">
        <v>8.2402023582719988</v>
      </c>
      <c r="I121" s="1">
        <v>513</v>
      </c>
      <c r="S121" s="1">
        <v>42331.607638888891</v>
      </c>
      <c r="T121" s="1">
        <v>9.4295099151360002</v>
      </c>
      <c r="U121" s="1">
        <v>734</v>
      </c>
      <c r="V121" s="1">
        <v>2.0321825631018662</v>
      </c>
    </row>
    <row r="122" spans="1:22" x14ac:dyDescent="0.25">
      <c r="A122" s="1">
        <v>42331.618055555555</v>
      </c>
      <c r="B122" s="1">
        <v>9.0047572162560012</v>
      </c>
      <c r="C122" s="1">
        <v>667</v>
      </c>
      <c r="G122" s="1">
        <v>42331.642361111109</v>
      </c>
      <c r="H122" s="1">
        <v>8.3534697446399999</v>
      </c>
      <c r="I122" s="1">
        <v>533</v>
      </c>
      <c r="S122" s="1">
        <v>42331.611111111109</v>
      </c>
      <c r="T122" s="1">
        <v>9.3728762219519997</v>
      </c>
      <c r="U122" s="1">
        <v>707</v>
      </c>
      <c r="V122" s="1">
        <v>1.9423601140235345</v>
      </c>
    </row>
    <row r="123" spans="1:22" x14ac:dyDescent="0.25">
      <c r="A123" s="1">
        <v>42331.621527777781</v>
      </c>
      <c r="B123" s="1">
        <v>8.9481235230719989</v>
      </c>
      <c r="C123" s="1">
        <v>648</v>
      </c>
      <c r="G123" s="1">
        <v>42331.638888888891</v>
      </c>
      <c r="H123" s="1">
        <v>8.4667371310079993</v>
      </c>
      <c r="I123" s="1">
        <v>552</v>
      </c>
      <c r="S123" s="1">
        <v>42331.614583333336</v>
      </c>
      <c r="T123" s="1">
        <v>9.2029751423999997</v>
      </c>
      <c r="U123" s="1">
        <v>687</v>
      </c>
      <c r="V123" s="1">
        <v>1.8492925461884451</v>
      </c>
    </row>
    <row r="124" spans="1:22" x14ac:dyDescent="0.25">
      <c r="A124" s="1">
        <v>42331.625</v>
      </c>
      <c r="B124" s="1">
        <v>8.8914898298880001</v>
      </c>
      <c r="C124" s="1">
        <v>629</v>
      </c>
      <c r="G124" s="1">
        <v>42331.635416666664</v>
      </c>
      <c r="H124" s="1">
        <v>8.5233708241919999</v>
      </c>
      <c r="I124" s="1">
        <v>571</v>
      </c>
      <c r="S124" s="1">
        <v>42331.618055555555</v>
      </c>
      <c r="T124" s="1">
        <v>9.0047572162560012</v>
      </c>
      <c r="U124" s="1">
        <v>667</v>
      </c>
      <c r="V124" s="1">
        <v>1.7706835679903583</v>
      </c>
    </row>
    <row r="125" spans="1:22" x14ac:dyDescent="0.25">
      <c r="A125" s="1">
        <v>42331.628472222219</v>
      </c>
      <c r="B125" s="1">
        <v>8.8348561367039995</v>
      </c>
      <c r="C125" s="1">
        <v>610</v>
      </c>
      <c r="G125" s="1">
        <v>42331.631944444445</v>
      </c>
      <c r="H125" s="1">
        <v>8.636638210560001</v>
      </c>
      <c r="I125" s="1">
        <v>590</v>
      </c>
      <c r="S125" s="1">
        <v>42331.621527777781</v>
      </c>
      <c r="T125" s="1">
        <v>8.9481235230719989</v>
      </c>
      <c r="U125" s="1">
        <v>648</v>
      </c>
      <c r="V125" s="1">
        <v>1.7086696703012085</v>
      </c>
    </row>
    <row r="126" spans="1:22" x14ac:dyDescent="0.25">
      <c r="A126" s="1">
        <v>42331.631944444445</v>
      </c>
      <c r="B126" s="1">
        <v>8.636638210560001</v>
      </c>
      <c r="C126" s="1">
        <v>590</v>
      </c>
      <c r="G126" s="1">
        <v>42331.628472222219</v>
      </c>
      <c r="H126" s="1">
        <v>8.8348561367039995</v>
      </c>
      <c r="I126" s="1">
        <v>610</v>
      </c>
      <c r="S126" s="1">
        <v>42331.625</v>
      </c>
      <c r="T126" s="1">
        <v>8.8914898298880001</v>
      </c>
      <c r="U126" s="1">
        <v>629</v>
      </c>
      <c r="V126" s="1">
        <v>1.6473014004241799</v>
      </c>
    </row>
    <row r="127" spans="1:22" x14ac:dyDescent="0.25">
      <c r="A127" s="1">
        <v>42331.635416666664</v>
      </c>
      <c r="B127" s="1">
        <v>8.5233708241919999</v>
      </c>
      <c r="C127" s="1">
        <v>571</v>
      </c>
      <c r="G127" s="1">
        <v>42331.625</v>
      </c>
      <c r="H127" s="1">
        <v>8.8914898298880001</v>
      </c>
      <c r="I127" s="1">
        <v>629</v>
      </c>
      <c r="S127" s="1">
        <v>42331.628472222219</v>
      </c>
      <c r="T127" s="1">
        <v>8.8348561367039995</v>
      </c>
      <c r="U127" s="1">
        <v>610</v>
      </c>
      <c r="V127" s="1">
        <v>1.5727318199738771</v>
      </c>
    </row>
    <row r="128" spans="1:22" x14ac:dyDescent="0.25">
      <c r="A128" s="1">
        <v>42331.638888888891</v>
      </c>
      <c r="B128" s="1">
        <v>8.4667371310079993</v>
      </c>
      <c r="C128" s="1">
        <v>552</v>
      </c>
      <c r="G128" s="1">
        <v>42331.621527777781</v>
      </c>
      <c r="H128" s="1">
        <v>8.9481235230719989</v>
      </c>
      <c r="I128" s="1">
        <v>648</v>
      </c>
      <c r="S128" s="1">
        <v>42331.631944444445</v>
      </c>
      <c r="T128" s="1">
        <v>8.636638210560001</v>
      </c>
      <c r="U128" s="1">
        <v>590</v>
      </c>
      <c r="V128" s="1">
        <v>1.4943691913348653</v>
      </c>
    </row>
    <row r="129" spans="1:22" x14ac:dyDescent="0.25">
      <c r="A129" s="1">
        <v>42331.642361111109</v>
      </c>
      <c r="B129" s="1">
        <v>8.3534697446399999</v>
      </c>
      <c r="C129" s="1">
        <v>533</v>
      </c>
      <c r="G129" s="1">
        <v>42331.618055555555</v>
      </c>
      <c r="H129" s="1">
        <v>9.0047572162560012</v>
      </c>
      <c r="I129" s="1">
        <v>667</v>
      </c>
      <c r="S129" s="1">
        <v>42331.635416666664</v>
      </c>
      <c r="T129" s="1">
        <v>8.5233708241919999</v>
      </c>
      <c r="U129" s="1">
        <v>571</v>
      </c>
      <c r="V129" s="1">
        <v>1.4310725472054948</v>
      </c>
    </row>
    <row r="130" spans="1:22" x14ac:dyDescent="0.25">
      <c r="A130" s="1">
        <v>42331.645833333336</v>
      </c>
      <c r="B130" s="1">
        <v>8.2402023582719988</v>
      </c>
      <c r="C130" s="1">
        <v>513</v>
      </c>
      <c r="G130" s="1">
        <v>42331.614583333336</v>
      </c>
      <c r="H130" s="1">
        <v>9.2029751423999997</v>
      </c>
      <c r="I130" s="1">
        <v>687</v>
      </c>
      <c r="S130" s="1">
        <v>42331.638888888891</v>
      </c>
      <c r="T130" s="1">
        <v>8.4667371310079993</v>
      </c>
      <c r="U130" s="1">
        <v>552</v>
      </c>
      <c r="V130" s="1">
        <v>1.3689057392565376</v>
      </c>
    </row>
    <row r="131" spans="1:22" x14ac:dyDescent="0.25">
      <c r="A131" s="1">
        <v>42331.649305555555</v>
      </c>
      <c r="B131" s="1">
        <v>8.183568665088</v>
      </c>
      <c r="C131" s="1">
        <v>495</v>
      </c>
      <c r="G131" s="1">
        <v>42331.611111111109</v>
      </c>
      <c r="H131" s="1">
        <v>9.3728762219519997</v>
      </c>
      <c r="I131" s="1">
        <v>707</v>
      </c>
      <c r="S131" s="1">
        <v>42331.642361111109</v>
      </c>
      <c r="T131" s="1">
        <v>8.3534697446399999</v>
      </c>
      <c r="U131" s="1">
        <v>533</v>
      </c>
      <c r="V131" s="1">
        <v>1.3019434790686601</v>
      </c>
    </row>
    <row r="132" spans="1:22" x14ac:dyDescent="0.25">
      <c r="A132" s="1">
        <v>42331.652777777781</v>
      </c>
      <c r="B132" s="1">
        <v>8.1269349719039994</v>
      </c>
      <c r="C132" s="1">
        <v>482</v>
      </c>
      <c r="G132" s="1">
        <v>42331.607638888891</v>
      </c>
      <c r="H132" s="1">
        <v>9.4295099151360002</v>
      </c>
      <c r="I132" s="1">
        <v>734</v>
      </c>
      <c r="S132" s="1">
        <v>42331.645833333336</v>
      </c>
      <c r="T132" s="1">
        <v>8.2402023582719988</v>
      </c>
      <c r="U132" s="1">
        <v>513</v>
      </c>
      <c r="V132" s="1">
        <v>1.2417135436953786</v>
      </c>
    </row>
    <row r="133" spans="1:22" x14ac:dyDescent="0.25">
      <c r="A133" s="1">
        <v>42331.65625</v>
      </c>
      <c r="B133" s="1">
        <v>8.013667585536</v>
      </c>
      <c r="C133" s="1">
        <v>468</v>
      </c>
      <c r="G133" s="1">
        <v>42331.604166666664</v>
      </c>
      <c r="H133" s="1">
        <v>9.6277278412800005</v>
      </c>
      <c r="I133" s="1">
        <v>760</v>
      </c>
      <c r="S133" s="1">
        <v>42331.649305555555</v>
      </c>
      <c r="T133" s="1">
        <v>8.183568665088</v>
      </c>
      <c r="U133" s="1">
        <v>495</v>
      </c>
      <c r="V133" s="1">
        <v>1.1952073732428476</v>
      </c>
    </row>
    <row r="134" spans="1:22" x14ac:dyDescent="0.25">
      <c r="A134" s="1">
        <v>42331.659722222219</v>
      </c>
      <c r="B134" s="1">
        <v>7.9570338923520003</v>
      </c>
      <c r="C134" s="1">
        <v>454</v>
      </c>
      <c r="G134" s="1">
        <v>42331.600694444445</v>
      </c>
      <c r="H134" s="1">
        <v>9.7409952276479999</v>
      </c>
      <c r="I134" s="1">
        <v>786</v>
      </c>
      <c r="S134" s="1">
        <v>42331.652777777781</v>
      </c>
      <c r="T134" s="1">
        <v>8.1269349719039994</v>
      </c>
      <c r="U134" s="1">
        <v>482</v>
      </c>
      <c r="V134" s="1">
        <v>1.1501368619021379</v>
      </c>
    </row>
    <row r="135" spans="1:22" x14ac:dyDescent="0.25">
      <c r="A135" s="1">
        <v>42331.663194444445</v>
      </c>
      <c r="B135" s="1">
        <v>7.9004001991680006</v>
      </c>
      <c r="C135" s="1">
        <v>440</v>
      </c>
      <c r="G135" s="1">
        <v>42331.597222222219</v>
      </c>
      <c r="H135" s="1">
        <v>9.8259457674240007</v>
      </c>
      <c r="I135" s="1">
        <v>813</v>
      </c>
      <c r="S135" s="1">
        <v>42331.65625</v>
      </c>
      <c r="T135" s="1">
        <v>8.013667585536</v>
      </c>
      <c r="U135" s="1">
        <v>468</v>
      </c>
      <c r="V135" s="1">
        <v>1.1044334715452147</v>
      </c>
    </row>
    <row r="136" spans="1:22" x14ac:dyDescent="0.25">
      <c r="A136" s="1">
        <v>42331.666666666664</v>
      </c>
      <c r="B136" s="1">
        <v>7.7304991196159998</v>
      </c>
      <c r="C136" s="1">
        <v>427</v>
      </c>
      <c r="G136" s="1">
        <v>42331.59375</v>
      </c>
      <c r="H136" s="1">
        <v>10.024163693567999</v>
      </c>
      <c r="I136" s="1">
        <v>839</v>
      </c>
      <c r="S136" s="1">
        <v>42331.659722222219</v>
      </c>
      <c r="T136" s="1">
        <v>7.9570338923520003</v>
      </c>
      <c r="U136" s="1">
        <v>454</v>
      </c>
      <c r="V136" s="1">
        <v>1.0633004224521039</v>
      </c>
    </row>
    <row r="137" spans="1:22" x14ac:dyDescent="0.25">
      <c r="A137" s="1">
        <v>42331.670138888891</v>
      </c>
      <c r="B137" s="1">
        <v>7.6738654264320001</v>
      </c>
      <c r="C137" s="1">
        <v>413</v>
      </c>
      <c r="G137" s="1">
        <v>42331.590277777781</v>
      </c>
      <c r="H137" s="1">
        <v>10.279015312896002</v>
      </c>
      <c r="I137" s="1">
        <v>865</v>
      </c>
      <c r="S137" s="1">
        <v>42331.663194444445</v>
      </c>
      <c r="T137" s="1">
        <v>7.9004001991680006</v>
      </c>
      <c r="U137" s="1">
        <v>440</v>
      </c>
      <c r="V137" s="1">
        <v>1.0165648808097432</v>
      </c>
    </row>
    <row r="138" spans="1:22" x14ac:dyDescent="0.25">
      <c r="A138" s="1">
        <v>42331.673611111109</v>
      </c>
      <c r="B138" s="1">
        <v>7.5039643468800001</v>
      </c>
      <c r="C138" s="1">
        <v>399</v>
      </c>
      <c r="G138" s="1">
        <v>42331.586805555555</v>
      </c>
      <c r="H138" s="1">
        <v>10.47723323904</v>
      </c>
      <c r="I138" s="1">
        <v>892</v>
      </c>
      <c r="S138" s="1">
        <v>42331.666666666664</v>
      </c>
      <c r="T138" s="1">
        <v>7.7304991196159998</v>
      </c>
      <c r="U138" s="1">
        <v>427</v>
      </c>
      <c r="V138" s="1">
        <v>0.97053443290871799</v>
      </c>
    </row>
    <row r="139" spans="1:22" x14ac:dyDescent="0.25">
      <c r="A139" s="1">
        <v>42331.677083333336</v>
      </c>
      <c r="B139" s="1">
        <v>7.4756475002880007</v>
      </c>
      <c r="C139" s="1">
        <v>385</v>
      </c>
      <c r="G139" s="1">
        <v>42331.583333333336</v>
      </c>
      <c r="H139" s="1">
        <v>10.533866932224001</v>
      </c>
      <c r="I139" s="1">
        <v>918</v>
      </c>
      <c r="S139" s="1">
        <v>42331.670138888891</v>
      </c>
      <c r="T139" s="1">
        <v>7.6738654264320001</v>
      </c>
      <c r="U139" s="1">
        <v>413</v>
      </c>
      <c r="V139" s="1">
        <v>0.92450822846721514</v>
      </c>
    </row>
    <row r="140" spans="1:22" x14ac:dyDescent="0.25">
      <c r="A140" s="1">
        <v>42331.680555555555</v>
      </c>
      <c r="B140" s="1">
        <v>7.4190138071040002</v>
      </c>
      <c r="C140" s="1">
        <v>372</v>
      </c>
      <c r="G140" s="1">
        <v>42331.579861111109</v>
      </c>
      <c r="H140" s="1">
        <v>10.817035398144</v>
      </c>
      <c r="I140" s="1">
        <v>953</v>
      </c>
      <c r="S140" s="1">
        <v>42331.673611111109</v>
      </c>
      <c r="T140" s="1">
        <v>7.5039643468800001</v>
      </c>
      <c r="U140" s="1">
        <v>399</v>
      </c>
      <c r="V140" s="1">
        <v>0.88083091032782235</v>
      </c>
    </row>
    <row r="141" spans="1:22" x14ac:dyDescent="0.25">
      <c r="A141" s="1">
        <v>42331.684027777781</v>
      </c>
      <c r="B141" s="1">
        <v>7.3057464207359999</v>
      </c>
      <c r="C141" s="1">
        <v>367</v>
      </c>
      <c r="G141" s="1">
        <v>42331.576388888891</v>
      </c>
      <c r="H141" s="1">
        <v>11.015253324288</v>
      </c>
      <c r="I141" s="1">
        <v>987</v>
      </c>
      <c r="S141" s="1">
        <v>42331.677083333336</v>
      </c>
      <c r="T141" s="1">
        <v>7.4756475002880007</v>
      </c>
      <c r="U141" s="1">
        <v>385</v>
      </c>
      <c r="V141" s="1">
        <v>0.38494260068140829</v>
      </c>
    </row>
    <row r="142" spans="1:22" x14ac:dyDescent="0.25">
      <c r="A142" s="1">
        <v>42331.6875</v>
      </c>
      <c r="B142" s="1">
        <v>7.2491127275520002</v>
      </c>
      <c r="C142" s="1">
        <v>362</v>
      </c>
      <c r="G142" s="1">
        <v>42331.572916666664</v>
      </c>
      <c r="H142" s="1">
        <v>11.156837557248</v>
      </c>
      <c r="I142" s="1">
        <v>1020</v>
      </c>
      <c r="S142" s="1">
        <v>42331.678645833337</v>
      </c>
      <c r="T142" s="1">
        <v>7.4501623383552005</v>
      </c>
      <c r="U142" s="1">
        <v>379.14999998910355</v>
      </c>
      <c r="V142" s="1">
        <v>0.46072967927555086</v>
      </c>
    </row>
    <row r="143" spans="1:22" x14ac:dyDescent="0.25">
      <c r="A143" s="1">
        <v>42331.690972222219</v>
      </c>
      <c r="B143" s="1">
        <v>7.1924790343680005</v>
      </c>
      <c r="C143" s="1">
        <v>357</v>
      </c>
      <c r="G143" s="1">
        <v>42331.569444444445</v>
      </c>
      <c r="H143" s="1">
        <v>11.440006023167999</v>
      </c>
      <c r="I143" s="1">
        <v>1060</v>
      </c>
      <c r="S143" s="1">
        <v>42331.680555555555</v>
      </c>
      <c r="T143" s="1">
        <v>7.4190138071040002</v>
      </c>
      <c r="U143" s="1">
        <v>372</v>
      </c>
      <c r="V143" s="1">
        <v>0.8161623118480581</v>
      </c>
    </row>
    <row r="144" spans="1:22" x14ac:dyDescent="0.25">
      <c r="A144" s="1">
        <v>42331.694444444445</v>
      </c>
      <c r="B144" s="1">
        <v>7.1358453411839999</v>
      </c>
      <c r="C144" s="1">
        <v>353</v>
      </c>
      <c r="G144" s="1">
        <v>42331.565972222219</v>
      </c>
      <c r="H144" s="1">
        <v>11.638223949312</v>
      </c>
      <c r="I144" s="1">
        <v>1160</v>
      </c>
      <c r="S144" s="1">
        <v>42331.684027777781</v>
      </c>
      <c r="T144" s="1">
        <v>7.3057464207359999</v>
      </c>
      <c r="U144" s="1">
        <v>367</v>
      </c>
      <c r="V144" s="1">
        <v>0.79580816082643635</v>
      </c>
    </row>
    <row r="145" spans="1:22" x14ac:dyDescent="0.25">
      <c r="A145" s="1">
        <v>42331.697916666664</v>
      </c>
      <c r="B145" s="1">
        <v>7.0792116480000002</v>
      </c>
      <c r="C145" s="1">
        <v>348</v>
      </c>
      <c r="G145" s="1">
        <v>42331.5625</v>
      </c>
      <c r="H145" s="1">
        <v>11.921392415231999</v>
      </c>
      <c r="I145" s="1">
        <v>1110</v>
      </c>
      <c r="S145" s="1">
        <v>42331.6875</v>
      </c>
      <c r="T145" s="1">
        <v>7.2491127275520002</v>
      </c>
      <c r="U145" s="1">
        <v>362</v>
      </c>
      <c r="V145" s="1">
        <v>0.77878407267118088</v>
      </c>
    </row>
    <row r="146" spans="1:22" x14ac:dyDescent="0.25">
      <c r="A146" s="1">
        <v>42331.701388888891</v>
      </c>
      <c r="B146" s="1">
        <v>7.0508948014080008</v>
      </c>
      <c r="C146" s="1">
        <v>343</v>
      </c>
      <c r="G146" s="1">
        <v>42331.559027777781</v>
      </c>
      <c r="H146" s="1">
        <v>12.147927187968</v>
      </c>
      <c r="I146" s="1">
        <v>1130</v>
      </c>
      <c r="S146" s="1">
        <v>42331.690972222219</v>
      </c>
      <c r="T146" s="1">
        <v>7.1924790343680005</v>
      </c>
      <c r="U146" s="1">
        <v>357</v>
      </c>
      <c r="V146" s="1">
        <v>0.76300026399434862</v>
      </c>
    </row>
    <row r="147" spans="1:22" x14ac:dyDescent="0.25">
      <c r="A147" s="1">
        <v>42331.704861111109</v>
      </c>
      <c r="B147" s="1">
        <v>6.9942611082240003</v>
      </c>
      <c r="C147" s="1">
        <v>338</v>
      </c>
      <c r="G147" s="1">
        <v>42331.555555555555</v>
      </c>
      <c r="H147" s="1">
        <v>12.374461960704</v>
      </c>
      <c r="I147" s="1">
        <v>1240</v>
      </c>
      <c r="S147" s="1">
        <v>42331.694444444445</v>
      </c>
      <c r="T147" s="1">
        <v>7.1358453411839999</v>
      </c>
      <c r="U147" s="1">
        <v>353</v>
      </c>
      <c r="V147" s="1">
        <v>0.74737785814524305</v>
      </c>
    </row>
    <row r="148" spans="1:22" x14ac:dyDescent="0.25">
      <c r="A148" s="1">
        <v>42331.708333333336</v>
      </c>
      <c r="B148" s="1">
        <v>6.880993721856</v>
      </c>
      <c r="C148" s="1">
        <v>334</v>
      </c>
      <c r="G148" s="1">
        <v>42331.552083333336</v>
      </c>
      <c r="H148" s="1">
        <v>12.657630426624001</v>
      </c>
      <c r="I148" s="1">
        <v>1230</v>
      </c>
      <c r="S148" s="1">
        <v>42331.697916666664</v>
      </c>
      <c r="T148" s="1">
        <v>7.0792116480000002</v>
      </c>
      <c r="U148" s="1">
        <v>348</v>
      </c>
      <c r="V148" s="1">
        <v>0.73230338641055515</v>
      </c>
    </row>
    <row r="149" spans="1:22" x14ac:dyDescent="0.25">
      <c r="A149" s="1">
        <v>42331.711805555555</v>
      </c>
      <c r="B149" s="1">
        <v>6.8243600286720003</v>
      </c>
      <c r="C149" s="1">
        <v>329</v>
      </c>
      <c r="G149" s="1">
        <v>42331.548611111109</v>
      </c>
      <c r="H149" s="1">
        <v>12.88416519936</v>
      </c>
      <c r="I149" s="1">
        <v>1150</v>
      </c>
      <c r="S149" s="1">
        <v>42331.701388888891</v>
      </c>
      <c r="T149" s="1">
        <v>7.0508948014080008</v>
      </c>
      <c r="U149" s="1">
        <v>343</v>
      </c>
      <c r="V149" s="1">
        <v>0.71737757505128852</v>
      </c>
    </row>
    <row r="150" spans="1:22" x14ac:dyDescent="0.25">
      <c r="A150" s="1">
        <v>42331.715277777781</v>
      </c>
      <c r="B150" s="1">
        <v>6.79604318208</v>
      </c>
      <c r="C150" s="1">
        <v>324</v>
      </c>
      <c r="G150" s="1">
        <v>42331.545138888891</v>
      </c>
      <c r="H150" s="1">
        <v>13.195650511872</v>
      </c>
      <c r="I150" s="1">
        <v>1070</v>
      </c>
      <c r="S150" s="1">
        <v>42331.704861111109</v>
      </c>
      <c r="T150" s="1">
        <v>6.9942611082240003</v>
      </c>
      <c r="U150" s="1">
        <v>338</v>
      </c>
      <c r="V150" s="1">
        <v>0.69934682446608942</v>
      </c>
    </row>
    <row r="151" spans="1:22" x14ac:dyDescent="0.25">
      <c r="A151" s="1">
        <v>42331.71875</v>
      </c>
      <c r="B151" s="1">
        <v>6.7394094888959994</v>
      </c>
      <c r="C151" s="1">
        <v>319</v>
      </c>
      <c r="G151" s="1">
        <v>42331.541666666664</v>
      </c>
      <c r="H151" s="1">
        <v>13.422185284608</v>
      </c>
      <c r="I151" s="1">
        <v>986</v>
      </c>
      <c r="S151" s="1">
        <v>42331.708333333336</v>
      </c>
      <c r="T151" s="1">
        <v>6.880993721856</v>
      </c>
      <c r="U151" s="1">
        <v>334</v>
      </c>
      <c r="V151" s="1">
        <v>0.68151995224523398</v>
      </c>
    </row>
    <row r="152" spans="1:22" x14ac:dyDescent="0.25">
      <c r="A152" s="1">
        <v>42331.722222222219</v>
      </c>
      <c r="B152" s="1">
        <v>6.626142102528001</v>
      </c>
      <c r="C152" s="1">
        <v>315</v>
      </c>
      <c r="G152" s="1">
        <v>42331.538194444445</v>
      </c>
      <c r="H152" s="1">
        <v>13.733670597120001</v>
      </c>
      <c r="I152" s="1">
        <v>905</v>
      </c>
      <c r="S152" s="1">
        <v>42331.711805555555</v>
      </c>
      <c r="T152" s="1">
        <v>6.8243600286720003</v>
      </c>
      <c r="U152" s="1">
        <v>329</v>
      </c>
      <c r="V152" s="1">
        <v>0.66706986684062286</v>
      </c>
    </row>
    <row r="153" spans="1:22" x14ac:dyDescent="0.25">
      <c r="A153" s="1">
        <v>42331.725694444445</v>
      </c>
      <c r="B153" s="1">
        <v>6.6827757957120006</v>
      </c>
      <c r="C153" s="1">
        <v>310</v>
      </c>
      <c r="G153" s="1">
        <v>42331.534722222219</v>
      </c>
      <c r="H153" s="1">
        <v>14.045155909631999</v>
      </c>
      <c r="I153" s="1">
        <v>824</v>
      </c>
      <c r="S153" s="1">
        <v>42331.715277777781</v>
      </c>
      <c r="T153" s="1">
        <v>6.79604318208</v>
      </c>
      <c r="U153" s="1">
        <v>324</v>
      </c>
      <c r="V153" s="1">
        <v>0.65276844208482365</v>
      </c>
    </row>
    <row r="154" spans="1:22" x14ac:dyDescent="0.25">
      <c r="A154" s="1">
        <v>42331.729166666664</v>
      </c>
      <c r="B154" s="1">
        <v>6.5695084093440004</v>
      </c>
      <c r="C154" s="1">
        <v>305</v>
      </c>
      <c r="G154" s="1">
        <v>42331.53125</v>
      </c>
      <c r="H154" s="1">
        <v>14.384958068736001</v>
      </c>
      <c r="I154" s="1">
        <v>746</v>
      </c>
      <c r="S154" s="1">
        <v>42331.71875</v>
      </c>
      <c r="T154" s="1">
        <v>6.7394094888959994</v>
      </c>
      <c r="U154" s="1">
        <v>319</v>
      </c>
      <c r="V154" s="1">
        <v>0.63556595779620473</v>
      </c>
    </row>
    <row r="155" spans="1:22" x14ac:dyDescent="0.25">
      <c r="A155" s="1">
        <v>42331.732638888891</v>
      </c>
      <c r="B155" s="1">
        <v>6.5695084093440004</v>
      </c>
      <c r="C155" s="1">
        <v>300</v>
      </c>
      <c r="G155" s="1">
        <v>42331.527777777781</v>
      </c>
      <c r="H155" s="1">
        <v>14.696443381248001</v>
      </c>
      <c r="I155" s="1">
        <v>772</v>
      </c>
      <c r="S155" s="1">
        <v>42331.722222222219</v>
      </c>
      <c r="T155" s="1">
        <v>6.626142102528001</v>
      </c>
      <c r="U155" s="1">
        <v>315</v>
      </c>
      <c r="V155" s="1">
        <v>0.62383428957129483</v>
      </c>
    </row>
    <row r="156" spans="1:22" x14ac:dyDescent="0.25">
      <c r="A156" s="1">
        <v>42331.736111111109</v>
      </c>
      <c r="B156" s="1">
        <v>6.5411915627520001</v>
      </c>
      <c r="C156" s="1">
        <v>296</v>
      </c>
      <c r="G156" s="1">
        <v>42331.524305555555</v>
      </c>
      <c r="H156" s="1">
        <v>15.036245540352001</v>
      </c>
      <c r="I156" s="1">
        <v>798</v>
      </c>
      <c r="S156" s="1">
        <v>42331.725694444445</v>
      </c>
      <c r="T156" s="1">
        <v>6.6827757957120006</v>
      </c>
      <c r="U156" s="1">
        <v>310</v>
      </c>
      <c r="V156" s="1">
        <v>0.61130408365877476</v>
      </c>
    </row>
    <row r="157" spans="1:22" x14ac:dyDescent="0.25">
      <c r="A157" s="1">
        <v>42331.739583333336</v>
      </c>
      <c r="B157" s="1">
        <v>6.4279241763839998</v>
      </c>
      <c r="C157" s="1">
        <v>291</v>
      </c>
      <c r="G157" s="1">
        <v>42331.520833333336</v>
      </c>
      <c r="H157" s="1">
        <v>15.376047699456</v>
      </c>
      <c r="I157" s="1">
        <v>824</v>
      </c>
      <c r="S157" s="1">
        <v>42331.729166666664</v>
      </c>
      <c r="T157" s="1">
        <v>6.5695084093440004</v>
      </c>
      <c r="U157" s="1">
        <v>305</v>
      </c>
      <c r="V157" s="1">
        <v>0.59618288884201631</v>
      </c>
    </row>
    <row r="158" spans="1:22" x14ac:dyDescent="0.25">
      <c r="A158" s="1">
        <v>42331.743055555555</v>
      </c>
      <c r="B158" s="1">
        <v>6.3712904832000001</v>
      </c>
      <c r="C158" s="1">
        <v>286</v>
      </c>
      <c r="G158" s="1">
        <v>42331.517361111109</v>
      </c>
      <c r="H158" s="1">
        <v>15.71584985856</v>
      </c>
      <c r="I158" s="1">
        <v>850</v>
      </c>
      <c r="S158" s="1">
        <v>42331.732638888891</v>
      </c>
      <c r="T158" s="1">
        <v>6.5695084093440004</v>
      </c>
      <c r="U158" s="1">
        <v>300</v>
      </c>
      <c r="V158" s="1">
        <v>0.58605678326086097</v>
      </c>
    </row>
    <row r="159" spans="1:22" x14ac:dyDescent="0.25">
      <c r="A159" s="1">
        <v>42331.746527777781</v>
      </c>
      <c r="B159" s="1">
        <v>6.3712904832000001</v>
      </c>
      <c r="C159" s="1">
        <v>281</v>
      </c>
      <c r="G159" s="1">
        <v>42331.513888888891</v>
      </c>
      <c r="H159" s="1">
        <v>16.055652017664002</v>
      </c>
      <c r="I159" s="1">
        <v>876</v>
      </c>
      <c r="S159" s="1">
        <v>42331.736111111109</v>
      </c>
      <c r="T159" s="1">
        <v>6.5411915627520001</v>
      </c>
      <c r="U159" s="1">
        <v>296</v>
      </c>
      <c r="V159" s="1">
        <v>0.57100779635009102</v>
      </c>
    </row>
    <row r="160" spans="1:22" x14ac:dyDescent="0.25">
      <c r="A160" s="1">
        <v>42331.75</v>
      </c>
      <c r="B160" s="1">
        <v>6.2863399434240002</v>
      </c>
      <c r="C160" s="1">
        <v>277</v>
      </c>
      <c r="G160" s="1">
        <v>42331.510416666664</v>
      </c>
      <c r="H160" s="1">
        <v>16.395454176768002</v>
      </c>
      <c r="I160" s="1">
        <v>902</v>
      </c>
      <c r="S160" s="1">
        <v>42331.739583333336</v>
      </c>
      <c r="T160" s="1">
        <v>6.4279241763839998</v>
      </c>
      <c r="U160" s="1">
        <v>291</v>
      </c>
      <c r="V160" s="1">
        <v>0.55390725151257525</v>
      </c>
    </row>
    <row r="161" spans="1:22" x14ac:dyDescent="0.25">
      <c r="A161" s="1">
        <v>42331.753472222219</v>
      </c>
      <c r="B161" s="1">
        <v>6.2863399434240002</v>
      </c>
      <c r="C161" s="1">
        <v>272</v>
      </c>
      <c r="G161" s="1">
        <v>42331.506944444445</v>
      </c>
      <c r="H161" s="1">
        <v>16.763573182464</v>
      </c>
      <c r="I161" s="1">
        <v>929</v>
      </c>
      <c r="S161" s="1">
        <v>42331.743055555555</v>
      </c>
      <c r="T161" s="1">
        <v>6.3712904832000001</v>
      </c>
      <c r="U161" s="1">
        <v>286</v>
      </c>
      <c r="V161" s="1">
        <v>0.54187825622698937</v>
      </c>
    </row>
    <row r="162" spans="1:22" x14ac:dyDescent="0.25">
      <c r="A162" s="1">
        <v>42331.756944444445</v>
      </c>
      <c r="B162" s="1">
        <v>6.1447557104639996</v>
      </c>
      <c r="C162" s="1">
        <v>267</v>
      </c>
      <c r="G162" s="1">
        <v>42331.503472222219</v>
      </c>
      <c r="H162" s="1">
        <v>17.018424801792001</v>
      </c>
      <c r="I162" s="1">
        <v>972</v>
      </c>
      <c r="S162" s="1">
        <v>42331.746527777781</v>
      </c>
      <c r="T162" s="1">
        <v>6.3712904832000001</v>
      </c>
      <c r="U162" s="1">
        <v>281</v>
      </c>
      <c r="V162" s="1">
        <v>0.52974731802278163</v>
      </c>
    </row>
    <row r="163" spans="1:22" x14ac:dyDescent="0.25">
      <c r="A163" s="1">
        <v>42331.760416666664</v>
      </c>
      <c r="B163" s="1">
        <v>6.2013894036480002</v>
      </c>
      <c r="C163" s="1">
        <v>262</v>
      </c>
      <c r="G163" s="1">
        <v>42331.5</v>
      </c>
      <c r="H163" s="1">
        <v>17.386543807488</v>
      </c>
      <c r="I163" s="1">
        <v>1020</v>
      </c>
      <c r="S163" s="1">
        <v>42331.75</v>
      </c>
      <c r="T163" s="1">
        <v>6.2863399434240002</v>
      </c>
      <c r="U163" s="1">
        <v>277</v>
      </c>
      <c r="V163" s="1">
        <v>0.51768009385883929</v>
      </c>
    </row>
    <row r="164" spans="1:22" x14ac:dyDescent="0.25">
      <c r="A164" s="1">
        <v>42331.763888888891</v>
      </c>
      <c r="B164" s="1">
        <v>6.1447557104639996</v>
      </c>
      <c r="C164" s="1">
        <v>258</v>
      </c>
      <c r="G164" s="1">
        <v>42331.496527777781</v>
      </c>
      <c r="H164" s="1">
        <v>17.867930199551999</v>
      </c>
      <c r="I164" s="1">
        <v>1060</v>
      </c>
      <c r="S164" s="1">
        <v>42331.753472222219</v>
      </c>
      <c r="T164" s="1">
        <v>6.2863399434240002</v>
      </c>
      <c r="U164" s="1">
        <v>272</v>
      </c>
      <c r="V164" s="1">
        <v>0.50258013648086275</v>
      </c>
    </row>
    <row r="165" spans="1:22" x14ac:dyDescent="0.25">
      <c r="A165" s="1">
        <v>42331.767361111109</v>
      </c>
      <c r="B165" s="1">
        <v>6.0881220172800008</v>
      </c>
      <c r="C165" s="1">
        <v>253</v>
      </c>
      <c r="G165" s="1">
        <v>42331.493055555555</v>
      </c>
      <c r="H165" s="1">
        <v>18.12278181888</v>
      </c>
      <c r="I165" s="1">
        <v>1100</v>
      </c>
      <c r="S165" s="1">
        <v>42331.756944444445</v>
      </c>
      <c r="T165" s="1">
        <v>6.1447557104639996</v>
      </c>
      <c r="U165" s="1">
        <v>267</v>
      </c>
      <c r="V165" s="1">
        <v>0.48981206931127658</v>
      </c>
    </row>
    <row r="166" spans="1:22" x14ac:dyDescent="0.25">
      <c r="A166" s="1">
        <v>42331.770833333336</v>
      </c>
      <c r="B166" s="1">
        <v>6.0598051706880005</v>
      </c>
      <c r="C166" s="1">
        <v>248</v>
      </c>
      <c r="G166" s="1">
        <v>42331.489583333336</v>
      </c>
      <c r="H166" s="1">
        <v>18.320999745024</v>
      </c>
      <c r="I166" s="1">
        <v>1150</v>
      </c>
      <c r="S166" s="1">
        <v>42331.760416666664</v>
      </c>
      <c r="T166" s="1">
        <v>6.2013894036480002</v>
      </c>
      <c r="U166" s="1">
        <v>262</v>
      </c>
      <c r="V166" s="1">
        <v>0.48151665011888239</v>
      </c>
    </row>
    <row r="167" spans="1:22" x14ac:dyDescent="0.25">
      <c r="A167" s="1">
        <v>42331.774305555555</v>
      </c>
      <c r="B167" s="1">
        <v>6.0031714775039999</v>
      </c>
      <c r="C167" s="1">
        <v>243</v>
      </c>
      <c r="G167" s="1">
        <v>42331.486111111109</v>
      </c>
      <c r="H167" s="1">
        <v>18.689118750720002</v>
      </c>
      <c r="I167" s="1">
        <v>1190</v>
      </c>
      <c r="S167" s="1">
        <v>42331.763888888891</v>
      </c>
      <c r="T167" s="1">
        <v>6.1447557104639996</v>
      </c>
      <c r="U167" s="1">
        <v>258</v>
      </c>
      <c r="V167" s="1">
        <v>0.46884627611408575</v>
      </c>
    </row>
    <row r="168" spans="1:22" x14ac:dyDescent="0.25">
      <c r="A168" s="1">
        <v>42331.777777777781</v>
      </c>
      <c r="B168" s="1">
        <v>5.9465377843200002</v>
      </c>
      <c r="C168" s="1">
        <v>239</v>
      </c>
      <c r="G168" s="1">
        <v>42331.482638888891</v>
      </c>
      <c r="H168" s="1">
        <v>18.802386137088</v>
      </c>
      <c r="I168" s="1">
        <v>1240</v>
      </c>
      <c r="S168" s="1">
        <v>42331.767361111109</v>
      </c>
      <c r="T168" s="1">
        <v>6.0881220172800008</v>
      </c>
      <c r="U168" s="1">
        <v>253</v>
      </c>
      <c r="V168" s="1">
        <v>0.4564689834367695</v>
      </c>
    </row>
    <row r="169" spans="1:22" x14ac:dyDescent="0.25">
      <c r="A169" s="1">
        <v>42331.78125</v>
      </c>
      <c r="B169" s="1">
        <v>5.9182209377280008</v>
      </c>
      <c r="C169" s="1">
        <v>234</v>
      </c>
      <c r="G169" s="1">
        <v>42331.479166666664</v>
      </c>
      <c r="H169" s="1">
        <v>18.689118750720002</v>
      </c>
      <c r="I169" s="1">
        <v>1280</v>
      </c>
      <c r="S169" s="1">
        <v>42331.770833333336</v>
      </c>
      <c r="T169" s="1">
        <v>6.0598051706880005</v>
      </c>
      <c r="U169" s="1">
        <v>248</v>
      </c>
      <c r="V169" s="1">
        <v>0.44424035229088332</v>
      </c>
    </row>
    <row r="170" spans="1:22" x14ac:dyDescent="0.25">
      <c r="A170" s="1">
        <v>42331.784722222219</v>
      </c>
      <c r="B170" s="1">
        <v>5.8615872445440003</v>
      </c>
      <c r="C170" s="1">
        <v>229</v>
      </c>
      <c r="G170" s="1">
        <v>42331.475694444445</v>
      </c>
      <c r="H170" s="1">
        <v>18.802386137088</v>
      </c>
      <c r="I170" s="1">
        <v>1320</v>
      </c>
      <c r="S170" s="1">
        <v>42331.774305555555</v>
      </c>
      <c r="T170" s="1">
        <v>6.0031714775039999</v>
      </c>
      <c r="U170" s="1">
        <v>243</v>
      </c>
      <c r="V170" s="1">
        <v>0.43199898042580581</v>
      </c>
    </row>
    <row r="171" spans="1:22" x14ac:dyDescent="0.25">
      <c r="A171" s="1">
        <v>42331.788194444445</v>
      </c>
      <c r="B171" s="1">
        <v>5.8049535513600006</v>
      </c>
      <c r="C171" s="1">
        <v>224</v>
      </c>
      <c r="G171" s="1">
        <v>42331.472222222219</v>
      </c>
      <c r="H171" s="1">
        <v>18.519217671168001</v>
      </c>
      <c r="I171" s="1">
        <v>1370</v>
      </c>
      <c r="S171" s="1">
        <v>42331.777777777781</v>
      </c>
      <c r="T171" s="1">
        <v>5.9465377843200002</v>
      </c>
      <c r="U171" s="1">
        <v>239</v>
      </c>
      <c r="V171" s="1">
        <v>0.42091293409011915</v>
      </c>
    </row>
    <row r="172" spans="1:22" x14ac:dyDescent="0.25">
      <c r="A172" s="1">
        <v>42331.791666666664</v>
      </c>
      <c r="B172" s="1">
        <v>5.8049535513600006</v>
      </c>
      <c r="C172" s="1">
        <v>220</v>
      </c>
      <c r="G172" s="1">
        <v>42331.46875</v>
      </c>
      <c r="H172" s="1">
        <v>18.405950284799999</v>
      </c>
      <c r="I172" s="1">
        <v>1410</v>
      </c>
      <c r="S172" s="1">
        <v>42331.78125</v>
      </c>
      <c r="T172" s="1">
        <v>5.9182209377280008</v>
      </c>
      <c r="U172" s="1">
        <v>234</v>
      </c>
      <c r="V172" s="1">
        <v>0.40907507638335844</v>
      </c>
    </row>
    <row r="173" spans="1:22" x14ac:dyDescent="0.25">
      <c r="A173" s="1">
        <v>42331.795138888891</v>
      </c>
      <c r="B173" s="1">
        <v>5.7766367047680003</v>
      </c>
      <c r="C173" s="1">
        <v>215</v>
      </c>
      <c r="G173" s="1">
        <v>42331.465277777781</v>
      </c>
      <c r="H173" s="1">
        <v>18.12278181888</v>
      </c>
      <c r="I173" s="1">
        <v>1460</v>
      </c>
      <c r="S173" s="1">
        <v>42331.784722222219</v>
      </c>
      <c r="T173" s="1">
        <v>5.8615872445440003</v>
      </c>
      <c r="U173" s="1">
        <v>229</v>
      </c>
      <c r="V173" s="1">
        <v>0.39639196163724344</v>
      </c>
    </row>
    <row r="174" spans="1:22" x14ac:dyDescent="0.25">
      <c r="A174" s="1">
        <v>42331.798611111109</v>
      </c>
      <c r="B174" s="1">
        <v>5.7200030115839997</v>
      </c>
      <c r="C174" s="1">
        <v>210</v>
      </c>
      <c r="G174" s="1">
        <v>42331.461805555555</v>
      </c>
      <c r="H174" s="1">
        <v>17.754662813184002</v>
      </c>
      <c r="I174" s="1">
        <v>1500</v>
      </c>
      <c r="S174" s="1">
        <v>42331.788194444445</v>
      </c>
      <c r="T174" s="1">
        <v>5.8049535513600006</v>
      </c>
      <c r="U174" s="1">
        <v>224</v>
      </c>
      <c r="V174" s="1">
        <v>0.38660990616051755</v>
      </c>
    </row>
    <row r="175" spans="1:22" x14ac:dyDescent="0.25">
      <c r="A175" s="1">
        <v>42331.802083333336</v>
      </c>
      <c r="B175" s="1">
        <v>5.7200030115839997</v>
      </c>
      <c r="C175" s="1">
        <v>205</v>
      </c>
      <c r="G175" s="1">
        <v>42331.458333333336</v>
      </c>
      <c r="H175" s="1">
        <v>17.499811193856001</v>
      </c>
      <c r="I175" s="1">
        <v>1540</v>
      </c>
      <c r="S175" s="1">
        <v>42331.791666666664</v>
      </c>
      <c r="T175" s="1">
        <v>5.8049535513600006</v>
      </c>
      <c r="U175" s="1">
        <v>220</v>
      </c>
      <c r="V175" s="1">
        <v>0.37786000136353504</v>
      </c>
    </row>
    <row r="176" spans="1:22" x14ac:dyDescent="0.25">
      <c r="A176" s="1">
        <v>42331.805555555555</v>
      </c>
      <c r="B176" s="1">
        <v>5.6633693184</v>
      </c>
      <c r="C176" s="1">
        <v>201</v>
      </c>
      <c r="G176" s="1">
        <v>42331.454861111109</v>
      </c>
      <c r="H176" s="1">
        <v>17.216642727935998</v>
      </c>
      <c r="I176" s="1">
        <v>1590</v>
      </c>
      <c r="S176" s="1">
        <v>42331.795138888891</v>
      </c>
      <c r="T176" s="1">
        <v>5.7766367047680003</v>
      </c>
      <c r="U176" s="1">
        <v>215</v>
      </c>
      <c r="V176" s="1">
        <v>0.36647662825235605</v>
      </c>
    </row>
    <row r="177" spans="1:22" x14ac:dyDescent="0.25">
      <c r="A177" s="1">
        <v>42331.809027777781</v>
      </c>
      <c r="B177" s="1">
        <v>5.578418778624</v>
      </c>
      <c r="C177" s="1">
        <v>199</v>
      </c>
      <c r="G177" s="1">
        <v>42331.451388888891</v>
      </c>
      <c r="H177" s="1">
        <v>17.216642727935998</v>
      </c>
      <c r="I177" s="1">
        <v>1630</v>
      </c>
      <c r="S177" s="1">
        <v>42331.798611111109</v>
      </c>
      <c r="T177" s="1">
        <v>5.7200030115839997</v>
      </c>
      <c r="U177" s="1">
        <v>210</v>
      </c>
      <c r="V177" s="1">
        <v>0.35607018788562422</v>
      </c>
    </row>
    <row r="178" spans="1:22" x14ac:dyDescent="0.25">
      <c r="A178" s="1">
        <v>42331.8125</v>
      </c>
      <c r="B178" s="1">
        <v>5.5501019320319998</v>
      </c>
      <c r="C178" s="1">
        <v>197</v>
      </c>
      <c r="G178" s="1">
        <v>42331.447916666664</v>
      </c>
      <c r="H178" s="1">
        <v>17.584761733632</v>
      </c>
      <c r="I178" s="1">
        <v>1670</v>
      </c>
      <c r="S178" s="1">
        <v>42331.802083333336</v>
      </c>
      <c r="T178" s="1">
        <v>5.7200030115839997</v>
      </c>
      <c r="U178" s="1">
        <v>205</v>
      </c>
      <c r="V178" s="1">
        <v>0.34664067723313369</v>
      </c>
    </row>
    <row r="179" spans="1:22" x14ac:dyDescent="0.25">
      <c r="A179" s="1">
        <v>42331.815972222219</v>
      </c>
      <c r="B179" s="1">
        <v>5.5501019320319998</v>
      </c>
      <c r="C179" s="1">
        <v>195</v>
      </c>
      <c r="G179" s="1">
        <v>42331.444444444445</v>
      </c>
      <c r="H179" s="1">
        <v>17.669712273407999</v>
      </c>
      <c r="I179" s="1">
        <v>1720</v>
      </c>
      <c r="S179" s="1">
        <v>42331.805555555555</v>
      </c>
      <c r="T179" s="1">
        <v>5.6633693184</v>
      </c>
      <c r="U179" s="1">
        <v>201</v>
      </c>
      <c r="V179" s="1">
        <v>0.33726638588431618</v>
      </c>
    </row>
    <row r="180" spans="1:22" x14ac:dyDescent="0.25">
      <c r="A180" s="1">
        <v>42331.819444444445</v>
      </c>
      <c r="B180" s="1">
        <v>5.493468238848001</v>
      </c>
      <c r="C180" s="1">
        <v>193</v>
      </c>
      <c r="G180" s="1">
        <v>42331.440972222219</v>
      </c>
      <c r="H180" s="1">
        <v>18.236049205248001</v>
      </c>
      <c r="I180" s="1">
        <v>1760</v>
      </c>
      <c r="S180" s="1">
        <v>42331.809027777781</v>
      </c>
      <c r="T180" s="1">
        <v>5.578418778624</v>
      </c>
      <c r="U180" s="1">
        <v>199</v>
      </c>
      <c r="V180" s="1">
        <v>0.33052131232565013</v>
      </c>
    </row>
    <row r="181" spans="1:22" x14ac:dyDescent="0.25">
      <c r="A181" s="1">
        <v>42331.822916666664</v>
      </c>
      <c r="B181" s="1">
        <v>5.493468238848001</v>
      </c>
      <c r="C181" s="1">
        <v>191</v>
      </c>
      <c r="G181" s="1">
        <v>42331.4375</v>
      </c>
      <c r="H181" s="1">
        <v>18.689118750720002</v>
      </c>
      <c r="I181" s="1">
        <v>1810</v>
      </c>
      <c r="S181" s="1">
        <v>42331.8125</v>
      </c>
      <c r="T181" s="1">
        <v>5.5501019320319998</v>
      </c>
      <c r="U181" s="1">
        <v>197</v>
      </c>
      <c r="V181" s="1">
        <v>0.32634599329954822</v>
      </c>
    </row>
    <row r="182" spans="1:22" x14ac:dyDescent="0.25">
      <c r="A182" s="1">
        <v>42331.826388888891</v>
      </c>
      <c r="B182" s="1">
        <v>5.4651513922559998</v>
      </c>
      <c r="C182" s="1">
        <v>189</v>
      </c>
      <c r="G182" s="1">
        <v>42331.434027777781</v>
      </c>
      <c r="H182" s="1">
        <v>19.170505142784002</v>
      </c>
      <c r="I182" s="1">
        <v>1850</v>
      </c>
      <c r="S182" s="1">
        <v>42331.815972222219</v>
      </c>
      <c r="T182" s="1">
        <v>5.5501019320319998</v>
      </c>
      <c r="U182" s="1">
        <v>195</v>
      </c>
      <c r="V182" s="1">
        <v>0.32137638740071706</v>
      </c>
    </row>
    <row r="183" spans="1:22" x14ac:dyDescent="0.25">
      <c r="A183" s="1">
        <v>42331.829861111109</v>
      </c>
      <c r="B183" s="1">
        <v>5.4085176990720001</v>
      </c>
      <c r="C183" s="1">
        <v>187</v>
      </c>
      <c r="G183" s="1">
        <v>42331.430555555555</v>
      </c>
      <c r="H183" s="1">
        <v>19.963376847359999</v>
      </c>
      <c r="I183" s="1">
        <v>1890</v>
      </c>
      <c r="S183" s="1">
        <v>42331.819444444445</v>
      </c>
      <c r="T183" s="1">
        <v>5.493468238848001</v>
      </c>
      <c r="U183" s="1">
        <v>193</v>
      </c>
      <c r="V183" s="1">
        <v>0.31642377026295221</v>
      </c>
    </row>
    <row r="184" spans="1:22" x14ac:dyDescent="0.25">
      <c r="A184" s="1">
        <v>42331.833333333336</v>
      </c>
      <c r="B184" s="1">
        <v>5.3518840058880004</v>
      </c>
      <c r="C184" s="1">
        <v>185</v>
      </c>
      <c r="G184" s="1">
        <v>42331.427083333336</v>
      </c>
      <c r="H184" s="1">
        <v>20.473080086016001</v>
      </c>
      <c r="I184" s="1">
        <v>1940</v>
      </c>
      <c r="S184" s="1">
        <v>42331.822916666664</v>
      </c>
      <c r="T184" s="1">
        <v>5.493468238848001</v>
      </c>
      <c r="U184" s="1">
        <v>191</v>
      </c>
      <c r="V184" s="1">
        <v>0.31232490737704688</v>
      </c>
    </row>
    <row r="185" spans="1:22" x14ac:dyDescent="0.25">
      <c r="A185" s="1">
        <v>42331.836805555555</v>
      </c>
      <c r="B185" s="1">
        <v>5.3518840058880004</v>
      </c>
      <c r="C185" s="1">
        <v>182</v>
      </c>
      <c r="G185" s="1">
        <v>42331.423611111109</v>
      </c>
      <c r="H185" s="1">
        <v>21.181001250815999</v>
      </c>
      <c r="I185" s="1">
        <v>1980</v>
      </c>
      <c r="S185" s="1">
        <v>42331.826388888891</v>
      </c>
      <c r="T185" s="1">
        <v>5.4651513922559998</v>
      </c>
      <c r="U185" s="1">
        <v>189</v>
      </c>
      <c r="V185" s="1">
        <v>0.30664596314384091</v>
      </c>
    </row>
    <row r="186" spans="1:22" x14ac:dyDescent="0.25">
      <c r="A186" s="1">
        <v>42331.840277777781</v>
      </c>
      <c r="B186" s="1">
        <v>5.3235671592960001</v>
      </c>
      <c r="C186" s="1">
        <v>180</v>
      </c>
      <c r="G186" s="1">
        <v>42331.420138888891</v>
      </c>
      <c r="H186" s="1">
        <v>21.803971875840002</v>
      </c>
      <c r="I186" s="1">
        <v>2040</v>
      </c>
      <c r="S186" s="1">
        <v>42331.829861111109</v>
      </c>
      <c r="T186" s="1">
        <v>5.4085176990720001</v>
      </c>
      <c r="U186" s="1">
        <v>187</v>
      </c>
      <c r="V186" s="1">
        <v>0.30022370297186807</v>
      </c>
    </row>
    <row r="187" spans="1:22" x14ac:dyDescent="0.25">
      <c r="A187" s="1">
        <v>42331.84375</v>
      </c>
      <c r="B187" s="1">
        <v>5.3235671592960001</v>
      </c>
      <c r="C187" s="1">
        <v>178</v>
      </c>
      <c r="G187" s="1">
        <v>42331.416666666664</v>
      </c>
      <c r="H187" s="1">
        <v>22.568526733824001</v>
      </c>
      <c r="I187" s="1">
        <v>2100</v>
      </c>
      <c r="S187" s="1">
        <v>42331.833333333336</v>
      </c>
      <c r="T187" s="1">
        <v>5.3518840058880004</v>
      </c>
      <c r="U187" s="1">
        <v>185</v>
      </c>
      <c r="V187" s="1">
        <v>0.29462121424974702</v>
      </c>
    </row>
    <row r="188" spans="1:22" x14ac:dyDescent="0.25">
      <c r="A188" s="1">
        <v>42331.847222222219</v>
      </c>
      <c r="B188" s="1">
        <v>5.2669334661120004</v>
      </c>
      <c r="C188" s="1">
        <v>176</v>
      </c>
      <c r="G188" s="1">
        <v>42331.413194444445</v>
      </c>
      <c r="H188" s="1">
        <v>23.418032131584003</v>
      </c>
      <c r="I188" s="1">
        <v>2160</v>
      </c>
      <c r="S188" s="1">
        <v>42331.836805555555</v>
      </c>
      <c r="T188" s="1">
        <v>5.3518840058880004</v>
      </c>
      <c r="U188" s="1">
        <v>182</v>
      </c>
      <c r="V188" s="1">
        <v>0.2898427469991558</v>
      </c>
    </row>
    <row r="189" spans="1:22" x14ac:dyDescent="0.25">
      <c r="A189" s="1">
        <v>42331.850694444445</v>
      </c>
      <c r="B189" s="1">
        <v>5.2669334661120004</v>
      </c>
      <c r="C189" s="1">
        <v>174</v>
      </c>
      <c r="G189" s="1">
        <v>42331.409722222219</v>
      </c>
      <c r="H189" s="1">
        <v>23.984369063424001</v>
      </c>
      <c r="I189" s="1">
        <v>2220</v>
      </c>
      <c r="S189" s="1">
        <v>42331.840277777781</v>
      </c>
      <c r="T189" s="1">
        <v>5.3235671592960001</v>
      </c>
      <c r="U189" s="1">
        <v>180</v>
      </c>
      <c r="V189" s="1">
        <v>0.28587555618795285</v>
      </c>
    </row>
    <row r="190" spans="1:22" x14ac:dyDescent="0.25">
      <c r="A190" s="8">
        <v>42331.854166666664</v>
      </c>
      <c r="B190" s="8">
        <v>5.2386166195200001</v>
      </c>
      <c r="C190" s="8">
        <v>172</v>
      </c>
      <c r="G190" s="1">
        <v>42331.40625</v>
      </c>
      <c r="H190" s="1">
        <v>25.003775540736001</v>
      </c>
      <c r="I190" s="1">
        <v>2280</v>
      </c>
      <c r="S190" s="1">
        <v>42331.84375</v>
      </c>
      <c r="T190" s="1">
        <v>5.3235671592960001</v>
      </c>
      <c r="U190" s="1">
        <v>178</v>
      </c>
      <c r="V190" s="1">
        <v>0.28118628639668491</v>
      </c>
    </row>
    <row r="191" spans="1:22" x14ac:dyDescent="0.25">
      <c r="A191" s="8">
        <v>42331.857638888891</v>
      </c>
      <c r="B191" s="8">
        <v>5.2386166195200001</v>
      </c>
      <c r="C191" s="8">
        <v>170</v>
      </c>
      <c r="G191" s="1">
        <v>42331.402777777781</v>
      </c>
      <c r="H191" s="1">
        <v>25.796647245312002</v>
      </c>
      <c r="I191" s="1">
        <v>2340</v>
      </c>
      <c r="S191" s="1">
        <v>42331.847222222219</v>
      </c>
      <c r="T191" s="1">
        <v>5.2669334661120004</v>
      </c>
      <c r="U191" s="1">
        <v>176</v>
      </c>
      <c r="V191" s="1">
        <v>0.27651400729278475</v>
      </c>
    </row>
    <row r="192" spans="1:22" x14ac:dyDescent="0.25">
      <c r="A192" s="8">
        <v>42331.861111111109</v>
      </c>
      <c r="B192" s="8">
        <v>5.1819829263359996</v>
      </c>
      <c r="C192" s="8">
        <v>168</v>
      </c>
      <c r="G192" s="1">
        <v>42331.399305555555</v>
      </c>
      <c r="H192" s="1">
        <v>26.872687415808002</v>
      </c>
      <c r="I192" s="1">
        <v>2400</v>
      </c>
      <c r="S192" s="1">
        <v>42331.850694444445</v>
      </c>
      <c r="T192" s="1">
        <v>5.2669334661120004</v>
      </c>
      <c r="U192" s="1">
        <v>174</v>
      </c>
      <c r="V192" s="1">
        <v>0.272623271995239</v>
      </c>
    </row>
    <row r="193" spans="1:22" x14ac:dyDescent="0.25">
      <c r="A193" s="8">
        <v>42331.864583333336</v>
      </c>
      <c r="B193" s="8">
        <v>5.1819829263359996</v>
      </c>
      <c r="C193" s="8">
        <v>166</v>
      </c>
      <c r="G193" s="1">
        <v>42331.395833333336</v>
      </c>
      <c r="H193" s="1">
        <v>27.354073807872002</v>
      </c>
      <c r="I193" s="1">
        <v>2470</v>
      </c>
      <c r="S193" s="1">
        <v>42331.854166666664</v>
      </c>
      <c r="T193" s="1">
        <v>5.2386166195200001</v>
      </c>
      <c r="U193" s="1">
        <v>172</v>
      </c>
      <c r="V193" s="1">
        <v>0.26874103289423179</v>
      </c>
    </row>
    <row r="194" spans="1:22" x14ac:dyDescent="0.25">
      <c r="A194" s="8">
        <v>42331.868055555555</v>
      </c>
      <c r="B194" s="8">
        <v>5.1536660797440002</v>
      </c>
      <c r="C194" s="8">
        <v>164</v>
      </c>
      <c r="G194" s="1">
        <v>42331.392361111109</v>
      </c>
      <c r="H194" s="1">
        <v>28.60001505792</v>
      </c>
      <c r="I194" s="1">
        <v>2540</v>
      </c>
      <c r="S194" s="1">
        <v>42331.857638888891</v>
      </c>
      <c r="T194" s="1">
        <v>5.2386166195200001</v>
      </c>
      <c r="U194" s="1">
        <v>170</v>
      </c>
      <c r="V194" s="1">
        <v>0.26417069329539905</v>
      </c>
    </row>
    <row r="195" spans="1:22" x14ac:dyDescent="0.25">
      <c r="A195" s="8">
        <v>42331.871527777781</v>
      </c>
      <c r="B195" s="8">
        <v>5.1536660797440002</v>
      </c>
      <c r="C195" s="8">
        <v>162</v>
      </c>
      <c r="G195" s="1">
        <v>42331.388888888891</v>
      </c>
      <c r="H195" s="1">
        <v>29.449520455680002</v>
      </c>
      <c r="I195" s="1">
        <v>2620</v>
      </c>
      <c r="S195" s="1">
        <v>42331.861111111109</v>
      </c>
      <c r="T195" s="1">
        <v>5.1819829263359996</v>
      </c>
      <c r="U195" s="1">
        <v>168</v>
      </c>
      <c r="V195" s="1">
        <v>0.25961734491166799</v>
      </c>
    </row>
    <row r="196" spans="1:22" x14ac:dyDescent="0.25">
      <c r="A196" s="8">
        <v>42331.875</v>
      </c>
      <c r="B196" s="8">
        <v>5.1536660797440002</v>
      </c>
      <c r="C196" s="8">
        <v>160</v>
      </c>
      <c r="G196" s="1">
        <v>42331.385416666664</v>
      </c>
      <c r="H196" s="1">
        <v>30.582194319360003</v>
      </c>
      <c r="I196" s="1">
        <v>2690</v>
      </c>
      <c r="S196" s="1">
        <v>42331.864583333336</v>
      </c>
      <c r="T196" s="1">
        <v>5.1819829263359996</v>
      </c>
      <c r="U196" s="1">
        <v>166</v>
      </c>
      <c r="V196" s="1">
        <v>0.25581156018922568</v>
      </c>
    </row>
    <row r="197" spans="1:22" x14ac:dyDescent="0.25">
      <c r="A197" s="8">
        <v>42331.878472222219</v>
      </c>
      <c r="B197" s="8">
        <v>5.1536660797440002</v>
      </c>
      <c r="C197" s="8">
        <v>157</v>
      </c>
      <c r="G197" s="1">
        <v>42331.381944444445</v>
      </c>
      <c r="H197" s="1">
        <v>31.998036648960003</v>
      </c>
      <c r="I197" s="1">
        <v>2770</v>
      </c>
      <c r="S197" s="1">
        <v>42331.868055555555</v>
      </c>
      <c r="T197" s="1">
        <v>5.1536660797440002</v>
      </c>
      <c r="U197" s="1">
        <v>164</v>
      </c>
      <c r="V197" s="1">
        <v>0.25201427159286488</v>
      </c>
    </row>
    <row r="198" spans="1:22" x14ac:dyDescent="0.25">
      <c r="A198" s="8">
        <v>42331.881944444445</v>
      </c>
      <c r="B198" s="8">
        <v>5.0687155399680002</v>
      </c>
      <c r="C198" s="8">
        <v>155</v>
      </c>
      <c r="G198" s="1">
        <v>42331.378472222219</v>
      </c>
      <c r="H198" s="1">
        <v>33.697047444479999</v>
      </c>
      <c r="I198" s="1">
        <v>2840</v>
      </c>
      <c r="S198" s="1">
        <v>42331.871527777781</v>
      </c>
      <c r="T198" s="1">
        <v>5.1536660797440002</v>
      </c>
      <c r="U198" s="1">
        <v>162</v>
      </c>
      <c r="V198" s="1">
        <v>0.24892207141980849</v>
      </c>
    </row>
    <row r="199" spans="1:22" x14ac:dyDescent="0.25">
      <c r="A199" s="8">
        <v>42331.885416666664</v>
      </c>
      <c r="B199" s="8">
        <v>4.9837650001920002</v>
      </c>
      <c r="C199" s="8">
        <v>153</v>
      </c>
      <c r="G199" s="1">
        <v>42331.375</v>
      </c>
      <c r="H199" s="1">
        <v>35.112889774080003</v>
      </c>
      <c r="I199" s="1">
        <v>2980</v>
      </c>
      <c r="S199" s="1">
        <v>42331.875</v>
      </c>
      <c r="T199" s="1">
        <v>5.1536660797440002</v>
      </c>
      <c r="U199" s="1">
        <v>160</v>
      </c>
      <c r="V199" s="1">
        <v>0.24505682186360028</v>
      </c>
    </row>
    <row r="200" spans="1:22" x14ac:dyDescent="0.25">
      <c r="A200" s="8">
        <v>42331.888888888891</v>
      </c>
      <c r="B200" s="8">
        <v>4.9837650001920002</v>
      </c>
      <c r="C200" s="8">
        <v>151</v>
      </c>
      <c r="G200" s="1">
        <v>42331.371527777781</v>
      </c>
      <c r="H200" s="1">
        <v>37.095069035519998</v>
      </c>
      <c r="I200" s="1">
        <v>3130</v>
      </c>
      <c r="S200" s="1">
        <v>42331.878472222219</v>
      </c>
      <c r="T200" s="1">
        <v>5.1536660797440002</v>
      </c>
      <c r="U200" s="1">
        <v>157</v>
      </c>
      <c r="V200" s="1">
        <v>0.23921647276071184</v>
      </c>
    </row>
    <row r="201" spans="1:22" x14ac:dyDescent="0.25">
      <c r="A201" s="8">
        <v>42331.895833333336</v>
      </c>
      <c r="B201" s="8">
        <v>4.9271313070080005</v>
      </c>
      <c r="C201" s="8">
        <v>147</v>
      </c>
      <c r="G201" s="1">
        <v>42331.368055555555</v>
      </c>
      <c r="H201" s="1">
        <v>38.510911365120002</v>
      </c>
      <c r="I201" s="1">
        <v>3270</v>
      </c>
      <c r="S201" s="1">
        <v>42331.881944444445</v>
      </c>
      <c r="T201" s="1">
        <v>5.0687155399680002</v>
      </c>
      <c r="U201" s="1">
        <v>155</v>
      </c>
      <c r="V201" s="1">
        <v>0.23222504284238599</v>
      </c>
    </row>
    <row r="202" spans="1:22" x14ac:dyDescent="0.25">
      <c r="A202" s="8">
        <v>42331.90625</v>
      </c>
      <c r="B202" s="8">
        <v>4.8421807672320005</v>
      </c>
      <c r="C202" s="8">
        <v>141</v>
      </c>
      <c r="G202" s="1">
        <v>42331.364583333336</v>
      </c>
      <c r="H202" s="1">
        <v>40.209922160640005</v>
      </c>
      <c r="I202" s="1">
        <v>3410</v>
      </c>
      <c r="S202" s="1">
        <v>42331.885416666664</v>
      </c>
      <c r="T202" s="1">
        <v>4.9837650001920002</v>
      </c>
      <c r="U202" s="1">
        <v>153</v>
      </c>
      <c r="V202" s="1">
        <v>0.2272596842733203</v>
      </c>
    </row>
    <row r="203" spans="1:22" x14ac:dyDescent="0.25">
      <c r="A203" s="8">
        <v>42331.916666666664</v>
      </c>
      <c r="B203" s="8">
        <v>4.8421807672320005</v>
      </c>
      <c r="C203" s="8">
        <v>135</v>
      </c>
      <c r="G203" s="1">
        <v>42331.361111111109</v>
      </c>
      <c r="H203" s="1">
        <v>42.19210142208</v>
      </c>
      <c r="I203" s="1">
        <v>3690</v>
      </c>
      <c r="S203" s="1">
        <v>42331.888888888891</v>
      </c>
      <c r="T203" s="1">
        <v>4.9837650001920002</v>
      </c>
      <c r="U203" s="1">
        <v>151</v>
      </c>
      <c r="V203" s="1">
        <v>0.44305104519932836</v>
      </c>
    </row>
    <row r="204" spans="1:22" x14ac:dyDescent="0.25">
      <c r="A204" s="8">
        <v>42331.927083333336</v>
      </c>
      <c r="B204" s="8">
        <v>4.8138639206400002</v>
      </c>
      <c r="C204" s="8">
        <v>129</v>
      </c>
      <c r="G204" s="1">
        <v>42331.357638888891</v>
      </c>
      <c r="H204" s="1">
        <v>43.324775285759998</v>
      </c>
      <c r="I204" s="1">
        <v>3970</v>
      </c>
      <c r="S204" s="1">
        <v>42331.895833333336</v>
      </c>
      <c r="T204" s="1">
        <v>4.9271313070080005</v>
      </c>
      <c r="U204" s="1">
        <v>147</v>
      </c>
      <c r="V204" s="1">
        <v>0.63316610549202912</v>
      </c>
    </row>
    <row r="205" spans="1:22" x14ac:dyDescent="0.25">
      <c r="A205" s="8">
        <v>42331.9375</v>
      </c>
      <c r="B205" s="8">
        <v>4.7855470740480008</v>
      </c>
      <c r="C205" s="8">
        <v>125</v>
      </c>
      <c r="G205" s="1">
        <v>42331.354166666664</v>
      </c>
      <c r="H205" s="1">
        <v>45.023786081280001</v>
      </c>
      <c r="I205" s="1">
        <v>4250</v>
      </c>
      <c r="S205" s="1">
        <v>42331.90625</v>
      </c>
      <c r="T205" s="1">
        <v>4.8421807672320005</v>
      </c>
      <c r="U205" s="1">
        <v>141</v>
      </c>
      <c r="V205" s="1">
        <v>0.60139885115019032</v>
      </c>
    </row>
    <row r="206" spans="1:22" x14ac:dyDescent="0.25">
      <c r="A206" s="8">
        <v>42331.947916666664</v>
      </c>
      <c r="B206" s="8">
        <v>4.7855470740480008</v>
      </c>
      <c r="C206" s="8">
        <v>121</v>
      </c>
      <c r="G206" s="1">
        <v>42331.350694444445</v>
      </c>
      <c r="H206" s="1">
        <v>46.439628410880005</v>
      </c>
      <c r="I206" s="1">
        <v>4530</v>
      </c>
      <c r="S206" s="1">
        <v>42331.916666666664</v>
      </c>
      <c r="T206" s="1">
        <v>4.8421807672320005</v>
      </c>
      <c r="U206" s="1">
        <v>135</v>
      </c>
      <c r="V206" s="1">
        <v>0.57360728246960269</v>
      </c>
    </row>
    <row r="207" spans="1:22" x14ac:dyDescent="0.25">
      <c r="A207" s="8">
        <v>42331.958333333336</v>
      </c>
      <c r="B207" s="8">
        <v>4.7855470740480008</v>
      </c>
      <c r="C207" s="8">
        <v>117</v>
      </c>
      <c r="G207" s="1">
        <v>42331.347222222219</v>
      </c>
      <c r="H207" s="1">
        <v>48.138639206400001</v>
      </c>
      <c r="I207" s="1">
        <v>4810</v>
      </c>
      <c r="S207" s="1">
        <v>42331.927083333336</v>
      </c>
      <c r="T207" s="1">
        <v>4.8138639206400002</v>
      </c>
      <c r="U207" s="1">
        <v>129</v>
      </c>
      <c r="V207" s="1">
        <v>0.54863182338061367</v>
      </c>
    </row>
    <row r="208" spans="1:22" x14ac:dyDescent="0.25">
      <c r="A208" s="8">
        <v>42331.96875</v>
      </c>
      <c r="B208" s="8">
        <v>4.7855470740480008</v>
      </c>
      <c r="C208" s="8">
        <v>115</v>
      </c>
      <c r="G208" s="1">
        <v>42331.34375</v>
      </c>
      <c r="H208" s="1">
        <v>49.554481535999997</v>
      </c>
      <c r="I208" s="1">
        <v>5170</v>
      </c>
      <c r="S208" s="1">
        <v>42331.9375</v>
      </c>
      <c r="T208" s="1">
        <v>4.7855470740480008</v>
      </c>
      <c r="U208" s="1">
        <v>125</v>
      </c>
      <c r="V208" s="1">
        <v>0.52976006097376926</v>
      </c>
    </row>
    <row r="209" spans="1:22" x14ac:dyDescent="0.25">
      <c r="A209" s="8">
        <v>42331.979166666664</v>
      </c>
      <c r="B209" s="8">
        <v>4.8138639206400002</v>
      </c>
      <c r="C209" s="8">
        <v>113</v>
      </c>
      <c r="G209" s="1">
        <v>42331.340277777781</v>
      </c>
      <c r="H209" s="1">
        <v>51.53666079744</v>
      </c>
      <c r="I209" s="1">
        <v>5530</v>
      </c>
      <c r="S209" s="1">
        <v>42331.947916666664</v>
      </c>
      <c r="T209" s="1">
        <v>4.7855470740480008</v>
      </c>
      <c r="U209" s="1">
        <v>121</v>
      </c>
      <c r="V209" s="1">
        <v>0.51253209186920723</v>
      </c>
    </row>
    <row r="210" spans="1:22" x14ac:dyDescent="0.25">
      <c r="A210" s="8">
        <v>42331.989583333336</v>
      </c>
      <c r="B210" s="8">
        <v>4.8421807672320005</v>
      </c>
      <c r="C210" s="8">
        <v>111</v>
      </c>
      <c r="G210" s="1">
        <v>42331.336805555555</v>
      </c>
      <c r="H210" s="1">
        <v>53.802008524800002</v>
      </c>
      <c r="I210" s="1">
        <v>5890</v>
      </c>
      <c r="S210" s="1">
        <v>42331.958333333336</v>
      </c>
      <c r="T210" s="1">
        <v>4.7855470740480008</v>
      </c>
      <c r="U210" s="1">
        <v>117</v>
      </c>
      <c r="V210" s="1">
        <v>0.49961111441428657</v>
      </c>
    </row>
    <row r="211" spans="1:22" x14ac:dyDescent="0.25">
      <c r="A211" s="8">
        <v>42332</v>
      </c>
      <c r="B211" s="8">
        <v>4.9271313070080005</v>
      </c>
      <c r="C211" s="8">
        <v>109</v>
      </c>
      <c r="G211" s="1">
        <v>42331.333333333336</v>
      </c>
      <c r="H211" s="1">
        <v>55.217850854399998</v>
      </c>
      <c r="I211" s="1">
        <v>6250</v>
      </c>
      <c r="S211" s="1">
        <v>42331.96875</v>
      </c>
      <c r="T211" s="1">
        <v>4.7855470740480008</v>
      </c>
      <c r="U211" s="1">
        <v>115</v>
      </c>
      <c r="V211" s="1">
        <v>0.49243704133187366</v>
      </c>
    </row>
    <row r="212" spans="1:22" x14ac:dyDescent="0.25">
      <c r="A212" s="8">
        <v>42332.006944444445</v>
      </c>
      <c r="B212" s="8">
        <v>4.9837650001920002</v>
      </c>
      <c r="C212" s="8">
        <v>108</v>
      </c>
      <c r="G212" s="1">
        <v>42331.329861111109</v>
      </c>
      <c r="H212" s="1">
        <v>57.48319858176</v>
      </c>
      <c r="I212" s="1">
        <v>6600</v>
      </c>
      <c r="S212" s="1">
        <v>42331.979166666664</v>
      </c>
      <c r="T212" s="1">
        <v>4.8138639206400002</v>
      </c>
      <c r="U212" s="1">
        <v>113</v>
      </c>
      <c r="V212" s="1">
        <v>0.48665190991439738</v>
      </c>
    </row>
    <row r="213" spans="1:22" x14ac:dyDescent="0.25">
      <c r="A213" s="8">
        <v>42332.010416666664</v>
      </c>
      <c r="B213" s="8">
        <v>4.9271313070080005</v>
      </c>
      <c r="C213" s="8">
        <v>114</v>
      </c>
      <c r="G213" s="1">
        <v>42331.326388888891</v>
      </c>
      <c r="H213" s="1">
        <v>59.182209377280003</v>
      </c>
      <c r="I213" s="1">
        <v>7170</v>
      </c>
      <c r="S213" s="1">
        <v>42331.989583333336</v>
      </c>
      <c r="T213" s="1">
        <v>4.8421807672320005</v>
      </c>
      <c r="U213" s="1">
        <v>111</v>
      </c>
      <c r="V213" s="1">
        <v>0.48354271981939734</v>
      </c>
    </row>
    <row r="214" spans="1:22" x14ac:dyDescent="0.25">
      <c r="A214" s="8">
        <v>42332.017361111109</v>
      </c>
      <c r="B214" s="8">
        <v>5.0687155399680002</v>
      </c>
      <c r="C214" s="8">
        <v>124</v>
      </c>
      <c r="G214" s="1">
        <v>42331.322916666664</v>
      </c>
      <c r="H214" s="1">
        <v>60.31488324096</v>
      </c>
      <c r="I214" s="1">
        <v>7730</v>
      </c>
      <c r="S214" s="1">
        <v>42332</v>
      </c>
      <c r="T214" s="1">
        <v>4.9271313070080005</v>
      </c>
      <c r="U214" s="1">
        <v>109</v>
      </c>
      <c r="V214" s="1">
        <v>0.322591179782937</v>
      </c>
    </row>
    <row r="215" spans="1:22" x14ac:dyDescent="0.25">
      <c r="A215" s="8">
        <v>42332.020833333336</v>
      </c>
      <c r="B215" s="8">
        <v>4.9837650001920002</v>
      </c>
      <c r="C215" s="8">
        <v>124</v>
      </c>
      <c r="G215" s="1">
        <v>42331.319444444445</v>
      </c>
      <c r="H215" s="1">
        <v>60.031714775040001</v>
      </c>
      <c r="I215" s="1">
        <v>8300</v>
      </c>
      <c r="S215" s="1">
        <v>42332.006944444445</v>
      </c>
      <c r="T215" s="1">
        <v>4.9837650001920002</v>
      </c>
      <c r="U215" s="1">
        <v>108</v>
      </c>
      <c r="V215" s="1">
        <v>0.16499093819928745</v>
      </c>
    </row>
    <row r="216" spans="1:22" x14ac:dyDescent="0.25">
      <c r="A216" s="8">
        <v>42332.027777777781</v>
      </c>
      <c r="B216" s="8">
        <v>5.0970323865600005</v>
      </c>
      <c r="C216" s="8">
        <v>124</v>
      </c>
      <c r="G216" s="1">
        <v>42331.315972222219</v>
      </c>
      <c r="H216" s="1">
        <v>59.465377843200002</v>
      </c>
      <c r="I216" s="1">
        <v>8860</v>
      </c>
      <c r="S216" s="1">
        <v>42332.010416666664</v>
      </c>
      <c r="T216" s="1">
        <v>4.9271313070080005</v>
      </c>
      <c r="U216" s="1">
        <v>114</v>
      </c>
      <c r="V216" s="1">
        <v>0.35706410882805101</v>
      </c>
    </row>
    <row r="217" spans="1:22" x14ac:dyDescent="0.25">
      <c r="A217" s="8">
        <v>42332.03125</v>
      </c>
      <c r="B217" s="8">
        <v>5.0970323865600005</v>
      </c>
      <c r="C217" s="8">
        <v>123</v>
      </c>
      <c r="G217" s="1">
        <v>42331.3125</v>
      </c>
      <c r="H217" s="1">
        <v>60.598051706880007</v>
      </c>
      <c r="I217" s="1">
        <v>9430</v>
      </c>
      <c r="S217" s="1">
        <v>42332.017361111109</v>
      </c>
      <c r="T217" s="1">
        <v>5.0687155399680002</v>
      </c>
      <c r="U217" s="1">
        <v>124</v>
      </c>
      <c r="V217" s="1">
        <v>0.18697613826464493</v>
      </c>
    </row>
    <row r="218" spans="1:22" x14ac:dyDescent="0.25">
      <c r="A218" s="8">
        <v>42332.034722222219</v>
      </c>
      <c r="B218" s="8">
        <v>5.0687155399680002</v>
      </c>
      <c r="C218" s="8">
        <v>122</v>
      </c>
      <c r="G218" s="1">
        <v>42331.309027777781</v>
      </c>
      <c r="H218" s="1">
        <v>61.447557104639998</v>
      </c>
      <c r="I218" s="1">
        <v>9990</v>
      </c>
      <c r="S218" s="1">
        <v>42332.020833333336</v>
      </c>
      <c r="T218" s="1">
        <v>4.9837650001920002</v>
      </c>
      <c r="U218" s="1">
        <v>124</v>
      </c>
      <c r="V218" s="1">
        <v>0.37500566283083087</v>
      </c>
    </row>
    <row r="219" spans="1:22" x14ac:dyDescent="0.25">
      <c r="A219" s="8">
        <v>42332.038194444445</v>
      </c>
      <c r="B219" s="8">
        <v>5.0970323865600005</v>
      </c>
      <c r="C219" s="8">
        <v>121</v>
      </c>
      <c r="G219" s="1">
        <v>42331.305555555555</v>
      </c>
      <c r="H219" s="1">
        <v>62.580230968320002</v>
      </c>
      <c r="I219" s="1">
        <v>10900</v>
      </c>
      <c r="S219" s="1">
        <v>42332.027777777781</v>
      </c>
      <c r="T219" s="1">
        <v>5.0970323865600005</v>
      </c>
      <c r="U219" s="1">
        <v>124</v>
      </c>
      <c r="V219" s="1">
        <v>0.18884504974617239</v>
      </c>
    </row>
    <row r="220" spans="1:22" x14ac:dyDescent="0.25">
      <c r="A220" s="8">
        <v>42332.041666666664</v>
      </c>
      <c r="B220" s="8">
        <v>5.1536660797440002</v>
      </c>
      <c r="C220" s="8">
        <v>120</v>
      </c>
      <c r="G220" s="1">
        <v>42331.302083333336</v>
      </c>
      <c r="H220" s="1">
        <v>63.712904832</v>
      </c>
      <c r="I220" s="1">
        <v>12100</v>
      </c>
      <c r="S220" s="1">
        <v>42332.03125</v>
      </c>
      <c r="T220" s="1">
        <v>5.0970323865600005</v>
      </c>
      <c r="U220" s="1">
        <v>123</v>
      </c>
      <c r="V220" s="1">
        <v>0.18679774173947747</v>
      </c>
    </row>
    <row r="221" spans="1:22" x14ac:dyDescent="0.25">
      <c r="A221" s="8">
        <v>42332.045138888891</v>
      </c>
      <c r="B221" s="8">
        <v>5.0970323865600005</v>
      </c>
      <c r="C221" s="8">
        <v>119</v>
      </c>
      <c r="G221" s="1">
        <v>42331.298611111109</v>
      </c>
      <c r="H221" s="1">
        <v>63.712904832</v>
      </c>
      <c r="I221" s="1">
        <v>13300</v>
      </c>
      <c r="S221" s="1">
        <v>42332.034722222219</v>
      </c>
      <c r="T221" s="1">
        <v>5.0687155399680002</v>
      </c>
      <c r="U221" s="1">
        <v>122</v>
      </c>
      <c r="V221" s="1">
        <v>0.18526863241315952</v>
      </c>
    </row>
    <row r="222" spans="1:22" x14ac:dyDescent="0.25">
      <c r="A222" s="8">
        <v>42332.048611111109</v>
      </c>
      <c r="B222" s="8">
        <v>5.1536660797440002</v>
      </c>
      <c r="C222" s="8">
        <v>118</v>
      </c>
      <c r="G222" s="1">
        <v>42331.295138888891</v>
      </c>
      <c r="H222" s="1">
        <v>62.580230968320002</v>
      </c>
      <c r="I222" s="1">
        <v>14500</v>
      </c>
      <c r="S222" s="1">
        <v>42332.038194444445</v>
      </c>
      <c r="T222" s="1">
        <v>5.0970323865600005</v>
      </c>
      <c r="U222" s="1">
        <v>121</v>
      </c>
      <c r="V222" s="1">
        <v>0.18527712707890323</v>
      </c>
    </row>
    <row r="223" spans="1:22" x14ac:dyDescent="0.25">
      <c r="A223" s="8">
        <v>42332.052083333336</v>
      </c>
      <c r="B223" s="8">
        <v>5.1536660797440002</v>
      </c>
      <c r="C223" s="8">
        <v>117</v>
      </c>
      <c r="G223" s="1">
        <v>42331.291666666664</v>
      </c>
      <c r="H223" s="1">
        <v>64.279241763840005</v>
      </c>
      <c r="I223" s="1">
        <v>15600</v>
      </c>
      <c r="S223" s="1">
        <v>42332.041666666664</v>
      </c>
      <c r="T223" s="1">
        <v>5.1536660797440002</v>
      </c>
      <c r="U223" s="1">
        <v>120</v>
      </c>
      <c r="V223" s="1">
        <v>0.18374801774939889</v>
      </c>
    </row>
    <row r="224" spans="1:22" x14ac:dyDescent="0.25">
      <c r="A224" s="8">
        <v>42332.055555555555</v>
      </c>
      <c r="B224" s="8">
        <v>5.1819829263359996</v>
      </c>
      <c r="C224" s="8">
        <v>116</v>
      </c>
      <c r="G224" s="1">
        <v>42331.288194444445</v>
      </c>
      <c r="H224" s="1">
        <v>67.960431820800011</v>
      </c>
      <c r="I224" s="1">
        <v>16800</v>
      </c>
      <c r="S224" s="1">
        <v>42332.045138888891</v>
      </c>
      <c r="T224" s="1">
        <v>5.0970323865600005</v>
      </c>
      <c r="U224" s="1">
        <v>119</v>
      </c>
      <c r="V224" s="1">
        <v>0.18220191754187609</v>
      </c>
    </row>
    <row r="225" spans="1:22" x14ac:dyDescent="0.25">
      <c r="A225" s="8">
        <v>42332.059027777781</v>
      </c>
      <c r="B225" s="8">
        <v>5.1536660797440002</v>
      </c>
      <c r="C225" s="8">
        <v>117</v>
      </c>
      <c r="G225" s="1">
        <v>42331.284722222219</v>
      </c>
      <c r="H225" s="1">
        <v>69.376274150400008</v>
      </c>
      <c r="I225" s="1">
        <v>18000</v>
      </c>
      <c r="S225" s="1">
        <v>42332.048611111109</v>
      </c>
      <c r="T225" s="1">
        <v>5.1536660797440002</v>
      </c>
      <c r="U225" s="1">
        <v>118</v>
      </c>
      <c r="V225" s="1">
        <v>0.18166672952246393</v>
      </c>
    </row>
    <row r="226" spans="1:22" x14ac:dyDescent="0.25">
      <c r="A226" s="8">
        <v>42332.0625</v>
      </c>
      <c r="B226" s="8">
        <v>5.1819829263359996</v>
      </c>
      <c r="C226" s="8">
        <v>119</v>
      </c>
      <c r="S226" s="1">
        <v>42332.052083333336</v>
      </c>
      <c r="T226" s="1">
        <v>5.1536660797440002</v>
      </c>
      <c r="U226" s="1">
        <v>117</v>
      </c>
      <c r="V226" s="1">
        <v>0.1806133424495443</v>
      </c>
    </row>
    <row r="227" spans="1:22" x14ac:dyDescent="0.25">
      <c r="A227" s="8">
        <v>42332.065972222219</v>
      </c>
      <c r="B227" s="8">
        <v>5.2386166195200001</v>
      </c>
      <c r="C227" s="8">
        <v>122</v>
      </c>
      <c r="S227" s="1">
        <v>42332.055555555555</v>
      </c>
      <c r="T227" s="1">
        <v>5.1819829263359996</v>
      </c>
      <c r="U227" s="1">
        <v>116</v>
      </c>
      <c r="V227" s="1">
        <v>0.18061334282801519</v>
      </c>
    </row>
    <row r="228" spans="1:22" x14ac:dyDescent="0.25">
      <c r="A228" s="8">
        <v>42332.069444444445</v>
      </c>
      <c r="B228" s="8">
        <v>5.1536660797440002</v>
      </c>
      <c r="C228" s="8">
        <v>124</v>
      </c>
      <c r="S228" s="1">
        <v>42332.059027777781</v>
      </c>
      <c r="T228" s="1">
        <v>5.1536660797440002</v>
      </c>
      <c r="U228" s="1">
        <v>117</v>
      </c>
      <c r="V228" s="1">
        <v>0.18294523476422378</v>
      </c>
    </row>
    <row r="229" spans="1:22" x14ac:dyDescent="0.25">
      <c r="A229" s="8">
        <v>42332.072916666664</v>
      </c>
      <c r="B229" s="8">
        <v>5.1819829263359996</v>
      </c>
      <c r="C229" s="8">
        <v>127</v>
      </c>
      <c r="S229" s="1">
        <v>42332.0625</v>
      </c>
      <c r="T229" s="1">
        <v>5.1819829263359996</v>
      </c>
      <c r="U229" s="1">
        <v>119</v>
      </c>
      <c r="V229" s="1">
        <v>0.18836507919688494</v>
      </c>
    </row>
    <row r="230" spans="1:22" x14ac:dyDescent="0.25">
      <c r="A230" s="8">
        <v>42332.076388888891</v>
      </c>
      <c r="B230" s="8">
        <v>5.4651513922559998</v>
      </c>
      <c r="C230" s="8">
        <v>130</v>
      </c>
      <c r="S230" s="1">
        <v>42332.065972222219</v>
      </c>
      <c r="T230" s="1">
        <v>5.2386166195200001</v>
      </c>
      <c r="U230" s="1">
        <v>122</v>
      </c>
      <c r="V230" s="1">
        <v>0.19172487344365155</v>
      </c>
    </row>
    <row r="231" spans="1:22" x14ac:dyDescent="0.25">
      <c r="A231" s="8">
        <v>42332.079861111109</v>
      </c>
      <c r="B231" s="8">
        <v>5.2386166195200001</v>
      </c>
      <c r="C231" s="8">
        <v>132</v>
      </c>
      <c r="S231" s="1">
        <v>42332.069444444445</v>
      </c>
      <c r="T231" s="1">
        <v>5.1536660797440002</v>
      </c>
      <c r="U231" s="1">
        <v>124</v>
      </c>
      <c r="V231" s="1">
        <v>0.19457496364872715</v>
      </c>
    </row>
    <row r="232" spans="1:22" x14ac:dyDescent="0.25">
      <c r="A232" s="8">
        <v>42332.083333333336</v>
      </c>
      <c r="B232" s="8">
        <v>5.0687155399680002</v>
      </c>
      <c r="C232" s="8">
        <v>135</v>
      </c>
      <c r="S232" s="1">
        <v>42332.072916666664</v>
      </c>
      <c r="T232" s="1">
        <v>5.1819829263359996</v>
      </c>
      <c r="U232" s="1">
        <v>127</v>
      </c>
      <c r="V232" s="1">
        <v>0.20528722713467862</v>
      </c>
    </row>
    <row r="233" spans="1:22" x14ac:dyDescent="0.25">
      <c r="A233" s="8">
        <v>42332.086805555555</v>
      </c>
      <c r="B233" s="8">
        <v>5.1819829263359996</v>
      </c>
      <c r="C233" s="8">
        <v>137</v>
      </c>
      <c r="S233" s="1">
        <v>42332.076388888891</v>
      </c>
      <c r="T233" s="1">
        <v>5.4651513922559998</v>
      </c>
      <c r="U233" s="1">
        <v>130</v>
      </c>
      <c r="V233" s="1">
        <v>0.21029506101963549</v>
      </c>
    </row>
    <row r="234" spans="1:22" x14ac:dyDescent="0.25">
      <c r="A234" s="8">
        <v>42332.090277777781</v>
      </c>
      <c r="B234" s="8">
        <v>5.2386166195200001</v>
      </c>
      <c r="C234" s="8">
        <v>137</v>
      </c>
      <c r="S234" s="1">
        <v>42332.079861111109</v>
      </c>
      <c r="T234" s="1">
        <v>5.2386166195200001</v>
      </c>
      <c r="U234" s="1">
        <v>132</v>
      </c>
      <c r="V234" s="1">
        <v>0.20636609899108976</v>
      </c>
    </row>
    <row r="235" spans="1:22" x14ac:dyDescent="0.25">
      <c r="A235" s="8">
        <v>42332.09375</v>
      </c>
      <c r="B235" s="8">
        <v>5.0970323865600005</v>
      </c>
      <c r="C235" s="8">
        <v>135</v>
      </c>
      <c r="S235" s="1">
        <v>42332.083333333336</v>
      </c>
      <c r="T235" s="1">
        <v>5.0687155399680002</v>
      </c>
      <c r="U235" s="1">
        <v>135</v>
      </c>
      <c r="V235" s="1">
        <v>0.20913123862578817</v>
      </c>
    </row>
    <row r="236" spans="1:22" x14ac:dyDescent="0.25">
      <c r="A236" s="8">
        <v>42332.100694444445</v>
      </c>
      <c r="B236" s="8">
        <v>5.0687155399680002</v>
      </c>
      <c r="C236" s="8">
        <v>129</v>
      </c>
      <c r="S236" s="1">
        <v>42332.086805555555</v>
      </c>
      <c r="T236" s="1">
        <v>5.1819829263359996</v>
      </c>
      <c r="U236" s="1">
        <v>137</v>
      </c>
      <c r="V236" s="1">
        <v>0.21414332091663649</v>
      </c>
    </row>
    <row r="237" spans="1:22" x14ac:dyDescent="0.25">
      <c r="A237" s="8">
        <v>42332.104166666664</v>
      </c>
      <c r="B237" s="8">
        <v>5.0970323865600005</v>
      </c>
      <c r="C237" s="8">
        <v>126</v>
      </c>
      <c r="S237" s="1">
        <v>42332.090277777781</v>
      </c>
      <c r="T237" s="1">
        <v>5.2386166195200001</v>
      </c>
      <c r="U237" s="1">
        <v>137</v>
      </c>
      <c r="V237" s="1">
        <v>0.21086847716258944</v>
      </c>
    </row>
    <row r="238" spans="1:22" x14ac:dyDescent="0.25">
      <c r="A238" s="8">
        <v>42332.107638888891</v>
      </c>
      <c r="B238" s="8">
        <v>5.0687155399680002</v>
      </c>
      <c r="C238" s="8">
        <v>122</v>
      </c>
      <c r="S238" s="1">
        <v>42332.09375</v>
      </c>
      <c r="T238" s="1">
        <v>5.0970323865600005</v>
      </c>
      <c r="U238" s="1">
        <v>135</v>
      </c>
      <c r="V238" s="1">
        <v>0.40258910309930918</v>
      </c>
    </row>
    <row r="239" spans="1:22" x14ac:dyDescent="0.25">
      <c r="A239" s="8">
        <v>42332.114583333336</v>
      </c>
      <c r="B239" s="8">
        <v>4.9837650001920002</v>
      </c>
      <c r="C239" s="8">
        <v>115</v>
      </c>
      <c r="S239" s="1">
        <v>42332.100694444445</v>
      </c>
      <c r="T239" s="1">
        <v>5.0687155399680002</v>
      </c>
      <c r="U239" s="1">
        <v>129</v>
      </c>
      <c r="V239" s="1">
        <v>0.19441355762330312</v>
      </c>
    </row>
    <row r="240" spans="1:22" x14ac:dyDescent="0.25">
      <c r="A240" s="8">
        <v>42332.118055555555</v>
      </c>
      <c r="B240" s="8">
        <v>5.0687155399680002</v>
      </c>
      <c r="C240" s="8">
        <v>111</v>
      </c>
      <c r="S240" s="1">
        <v>42332.104166666664</v>
      </c>
      <c r="T240" s="1">
        <v>5.0970323865600005</v>
      </c>
      <c r="U240" s="1">
        <v>126</v>
      </c>
      <c r="V240" s="1">
        <v>0.1890914067075298</v>
      </c>
    </row>
    <row r="241" spans="1:22" x14ac:dyDescent="0.25">
      <c r="A241" s="8">
        <v>42332.125</v>
      </c>
      <c r="B241" s="8">
        <v>4.7855470740480008</v>
      </c>
      <c r="C241" s="8">
        <v>110</v>
      </c>
      <c r="S241" s="1">
        <v>42332.107638888891</v>
      </c>
      <c r="T241" s="1">
        <v>5.0687155399680002</v>
      </c>
      <c r="U241" s="1">
        <v>122</v>
      </c>
      <c r="V241" s="1">
        <v>0.35745488131106606</v>
      </c>
    </row>
    <row r="242" spans="1:22" x14ac:dyDescent="0.25">
      <c r="A242" s="8">
        <v>42332.135416666664</v>
      </c>
      <c r="B242" s="8">
        <v>4.7289133808640003</v>
      </c>
      <c r="C242" s="8">
        <v>109</v>
      </c>
      <c r="S242" s="1">
        <v>42332.114583333336</v>
      </c>
      <c r="T242" s="1">
        <v>4.9837650001920002</v>
      </c>
      <c r="U242" s="1">
        <v>115</v>
      </c>
      <c r="V242" s="1">
        <v>0.17036405983511532</v>
      </c>
    </row>
    <row r="243" spans="1:22" x14ac:dyDescent="0.25">
      <c r="A243" s="8">
        <v>42332.145833333336</v>
      </c>
      <c r="B243" s="8">
        <v>4.6439628410880003</v>
      </c>
      <c r="C243" s="8">
        <v>108</v>
      </c>
      <c r="S243" s="1">
        <v>42332.118055555555</v>
      </c>
      <c r="T243" s="1">
        <v>5.0687155399680002</v>
      </c>
      <c r="U243" s="1">
        <v>111</v>
      </c>
      <c r="V243" s="1">
        <v>0.32671128096255264</v>
      </c>
    </row>
    <row r="244" spans="1:22" x14ac:dyDescent="0.25">
      <c r="A244" s="8">
        <v>42332.15625</v>
      </c>
      <c r="B244" s="8">
        <v>4.5590123013120003</v>
      </c>
      <c r="C244" s="8">
        <v>107</v>
      </c>
      <c r="S244" s="1">
        <v>42332.125</v>
      </c>
      <c r="T244" s="1">
        <v>4.7855470740480008</v>
      </c>
      <c r="U244" s="1">
        <v>110</v>
      </c>
      <c r="V244" s="1">
        <v>0.46883778138759541</v>
      </c>
    </row>
    <row r="245" spans="1:22" x14ac:dyDescent="0.25">
      <c r="A245" s="8">
        <v>42332.166666666664</v>
      </c>
      <c r="B245" s="8">
        <v>4.5023786081280006</v>
      </c>
      <c r="C245" s="8">
        <v>106</v>
      </c>
      <c r="S245" s="1">
        <v>42332.135416666664</v>
      </c>
      <c r="T245" s="1">
        <v>4.7289133808640003</v>
      </c>
      <c r="U245" s="1">
        <v>109</v>
      </c>
      <c r="V245" s="1">
        <v>0.45764979562136582</v>
      </c>
    </row>
    <row r="246" spans="1:22" x14ac:dyDescent="0.25">
      <c r="A246" s="8">
        <v>42332.177083333336</v>
      </c>
      <c r="B246" s="8">
        <v>4.3324775285759998</v>
      </c>
      <c r="C246" s="8">
        <v>105</v>
      </c>
      <c r="S246" s="1">
        <v>42332.145833333336</v>
      </c>
      <c r="T246" s="1">
        <v>4.6439628410880003</v>
      </c>
      <c r="U246" s="1">
        <v>108</v>
      </c>
      <c r="V246" s="1">
        <v>0.44521303628139042</v>
      </c>
    </row>
    <row r="247" spans="1:22" x14ac:dyDescent="0.25">
      <c r="A247" s="8">
        <v>42332.1875</v>
      </c>
      <c r="B247" s="8">
        <v>4.3041606819839995</v>
      </c>
      <c r="C247" s="8">
        <v>103</v>
      </c>
      <c r="S247" s="1">
        <v>42332.15625</v>
      </c>
      <c r="T247" s="1">
        <v>4.5590123013120003</v>
      </c>
      <c r="U247" s="1">
        <v>107</v>
      </c>
      <c r="V247" s="1">
        <v>0.43427990181476478</v>
      </c>
    </row>
    <row r="248" spans="1:22" x14ac:dyDescent="0.25">
      <c r="A248" s="8">
        <v>42332.197916666664</v>
      </c>
      <c r="B248" s="8">
        <v>4.2192101422080004</v>
      </c>
      <c r="C248" s="8">
        <v>102</v>
      </c>
      <c r="S248" s="1">
        <v>42332.166666666664</v>
      </c>
      <c r="T248" s="1">
        <v>4.5023786081280006</v>
      </c>
      <c r="U248" s="1">
        <v>106</v>
      </c>
      <c r="V248" s="1">
        <v>0.41947302302825401</v>
      </c>
    </row>
    <row r="249" spans="1:22" x14ac:dyDescent="0.25">
      <c r="A249" s="8">
        <v>42332.208333333336</v>
      </c>
      <c r="B249" s="8">
        <v>4.1059427558400001</v>
      </c>
      <c r="C249" s="8">
        <v>101</v>
      </c>
      <c r="S249" s="1">
        <v>42332.177083333336</v>
      </c>
      <c r="T249" s="1">
        <v>4.3324775285759998</v>
      </c>
      <c r="U249" s="1">
        <v>105</v>
      </c>
      <c r="V249" s="1">
        <v>0.40420741074106253</v>
      </c>
    </row>
    <row r="250" spans="1:22" x14ac:dyDescent="0.25">
      <c r="S250" s="1">
        <v>42332.1875</v>
      </c>
      <c r="T250" s="1">
        <v>4.3041606819839995</v>
      </c>
      <c r="U250" s="1">
        <v>103</v>
      </c>
      <c r="V250" s="1">
        <v>0.39315959304576598</v>
      </c>
    </row>
    <row r="251" spans="1:22" x14ac:dyDescent="0.25">
      <c r="S251" s="1">
        <v>42332.197916666664</v>
      </c>
      <c r="T251" s="1">
        <v>4.2192101422080004</v>
      </c>
      <c r="U251" s="1">
        <v>102</v>
      </c>
    </row>
  </sheetData>
  <sortState ref="S2:U252">
    <sortCondition ref="S2"/>
  </sortState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8996A-8E00-4598-B9B7-49F05F1114C6}">
  <sheetPr codeName="Sheet4"/>
  <dimension ref="A1:AG41"/>
  <sheetViews>
    <sheetView zoomScale="85" zoomScaleNormal="85" workbookViewId="0">
      <selection activeCell="J27" sqref="J27"/>
    </sheetView>
  </sheetViews>
  <sheetFormatPr defaultRowHeight="15" x14ac:dyDescent="0.25"/>
  <cols>
    <col min="5" max="5" width="11" customWidth="1"/>
    <col min="6" max="6" width="16.28515625" customWidth="1"/>
    <col min="7" max="8" width="19.28515625" customWidth="1"/>
    <col min="9" max="9" width="14" customWidth="1"/>
    <col min="10" max="10" width="24.140625" customWidth="1"/>
    <col min="11" max="11" width="28.140625" customWidth="1"/>
    <col min="12" max="13" width="12.42578125" customWidth="1"/>
    <col min="14" max="23" width="11" customWidth="1"/>
  </cols>
  <sheetData>
    <row r="1" spans="1:33" x14ac:dyDescent="0.25">
      <c r="A1" t="s">
        <v>4</v>
      </c>
      <c r="B1" t="s">
        <v>5</v>
      </c>
      <c r="C1" t="s">
        <v>7</v>
      </c>
      <c r="D1" t="s">
        <v>8</v>
      </c>
      <c r="E1" t="s">
        <v>10</v>
      </c>
      <c r="F1" t="s">
        <v>11</v>
      </c>
      <c r="G1" t="s">
        <v>12</v>
      </c>
      <c r="H1" t="s">
        <v>55</v>
      </c>
      <c r="I1" t="s">
        <v>13</v>
      </c>
      <c r="J1" t="s">
        <v>56</v>
      </c>
      <c r="K1" t="s">
        <v>57</v>
      </c>
      <c r="L1" t="s">
        <v>15</v>
      </c>
      <c r="M1" t="s">
        <v>16</v>
      </c>
      <c r="N1" t="s">
        <v>14</v>
      </c>
      <c r="O1" t="s">
        <v>66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>
        <v>0</v>
      </c>
      <c r="Y1" t="s">
        <v>58</v>
      </c>
      <c r="Z1" t="s">
        <v>59</v>
      </c>
      <c r="AA1" t="s">
        <v>60</v>
      </c>
      <c r="AB1" t="s">
        <v>61</v>
      </c>
      <c r="AC1">
        <f>Y2</f>
        <v>4.9449570511571686E-4</v>
      </c>
      <c r="AD1">
        <f>Z2</f>
        <v>5.602478731303092E-4</v>
      </c>
      <c r="AE1">
        <f t="shared" ref="AE1:AF1" si="0">AA2</f>
        <v>62.996890530548434</v>
      </c>
      <c r="AF1">
        <f t="shared" si="0"/>
        <v>848.34759068001085</v>
      </c>
      <c r="AG1">
        <f>AE1+AF1</f>
        <v>911.34448121055925</v>
      </c>
    </row>
    <row r="2" spans="1:33" x14ac:dyDescent="0.25">
      <c r="A2">
        <f>(Sheet1!K2-MIN(Sheet1!K:K))/(MAX(Sheet1!K:K)-MIN(Sheet1!K:K))</f>
        <v>0</v>
      </c>
      <c r="B2">
        <f>(Sheet1!L2-MIN(MIN(Sheet1!L:L),MIN(Sheet1!O:O)))/(MAX(MAX(Sheet1!L:L),MAX(Sheet1!O:O))-MIN(MIN(Sheet1!L:L),MIN(Sheet1!O:O)))</f>
        <v>0</v>
      </c>
      <c r="C2">
        <f>(Sheet1!N2-MIN(Sheet1!N:N))/(MAX(Sheet1!N:N)-MIN(Sheet1!N:N))</f>
        <v>0</v>
      </c>
      <c r="D2">
        <f>(Sheet1!O2-MIN(MIN(Sheet1!L:L),MIN(Sheet1!O:O)))/(MAX(MAX(Sheet1!L:L),MAX(Sheet1!O:O))-MIN(MIN(Sheet1!L:L),MIN(Sheet1!O:O)))</f>
        <v>3.4825842946667606E-3</v>
      </c>
      <c r="E2">
        <f>(0.5*(A3-A2)*(B2+B3))-(0.5*(C3-C2)*(D2+D3))</f>
        <v>-6.5752168014592341E-5</v>
      </c>
      <c r="F2" t="s">
        <v>86</v>
      </c>
      <c r="G2" t="s">
        <v>62</v>
      </c>
      <c r="H2">
        <v>85</v>
      </c>
      <c r="I2">
        <v>0.24432349704217063</v>
      </c>
      <c r="J2">
        <v>3816.4223546197163</v>
      </c>
      <c r="K2" t="s">
        <v>64</v>
      </c>
      <c r="L2">
        <v>17</v>
      </c>
      <c r="M2">
        <v>0.24432349704217063</v>
      </c>
      <c r="N2">
        <v>3816.4223546197163</v>
      </c>
      <c r="O2">
        <v>3337.749389232778</v>
      </c>
      <c r="P2">
        <f>E2</f>
        <v>-6.5752168014592341E-5</v>
      </c>
      <c r="Q2">
        <v>0</v>
      </c>
      <c r="R2">
        <f>P2</f>
        <v>-6.5752168014592341E-5</v>
      </c>
      <c r="S2">
        <v>5.0000000000000001E-3</v>
      </c>
      <c r="T2">
        <v>-5.0000000000000001E-3</v>
      </c>
      <c r="X2">
        <v>0.05</v>
      </c>
      <c r="Y2">
        <f>0.5*0.05*(B2+B3)</f>
        <v>4.9449570511571686E-4</v>
      </c>
      <c r="Z2">
        <f>0.5*0.05*(D2+D3)</f>
        <v>5.602478731303092E-4</v>
      </c>
      <c r="AA2">
        <f>0.5*(Sheet1!J3-Sheet1!J2)*(Sheet1!K3*Sheet1!L3+Sheet1!K2*Sheet1!L2)</f>
        <v>62.996890530548434</v>
      </c>
      <c r="AB2">
        <f>0.5*(Sheet1!M2-Sheet1!M3)*(Sheet1!N2*Sheet1!O2+Sheet1!N3*Sheet1!O3)</f>
        <v>848.34759068001085</v>
      </c>
      <c r="AC2">
        <f>Y2</f>
        <v>4.9449570511571686E-4</v>
      </c>
      <c r="AD2">
        <f>Z2</f>
        <v>5.602478731303092E-4</v>
      </c>
      <c r="AE2">
        <f t="shared" ref="AE2:AF3" si="1">AA2</f>
        <v>62.996890530548434</v>
      </c>
      <c r="AF2">
        <f t="shared" si="1"/>
        <v>848.34759068001085</v>
      </c>
      <c r="AG2">
        <f t="shared" ref="AG2:AG40" si="2">AE2+AF2</f>
        <v>911.34448121055925</v>
      </c>
    </row>
    <row r="3" spans="1:33" x14ac:dyDescent="0.25">
      <c r="A3">
        <f>(Sheet1!K3-MIN(Sheet1!K:K))/(MAX(Sheet1!K:K)-MIN(Sheet1!K:K))</f>
        <v>0.05</v>
      </c>
      <c r="B3">
        <f>(Sheet1!L3-MIN(MIN(Sheet1!L:L),MIN(Sheet1!O:O)))/(MAX(MAX(Sheet1!L:L),MAX(Sheet1!O:O))-MIN(MIN(Sheet1!L:L),MIN(Sheet1!O:O)))</f>
        <v>1.9779828204628674E-2</v>
      </c>
      <c r="C3">
        <f>(Sheet1!N3-MIN(Sheet1!N:N))/(MAX(Sheet1!N:N)-MIN(Sheet1!N:N))</f>
        <v>0.05</v>
      </c>
      <c r="D3">
        <f>(Sheet1!O3-MIN(MIN(Sheet1!L:L),MIN(Sheet1!O:O)))/(MAX(MAX(Sheet1!L:L),MAX(Sheet1!O:O))-MIN(MIN(Sheet1!L:L),MIN(Sheet1!O:O)))</f>
        <v>1.8927330630545608E-2</v>
      </c>
      <c r="E3">
        <f t="shared" ref="E3:E21" si="3">(0.5*(A4-A3)*(B3+B4))-(0.5*(C4-C3)*(D3+D4))</f>
        <v>1.8013623262601117E-3</v>
      </c>
      <c r="F3" t="s">
        <v>86</v>
      </c>
      <c r="G3" t="s">
        <v>63</v>
      </c>
      <c r="H3">
        <v>15</v>
      </c>
      <c r="I3">
        <v>-3.7018594142005631E-2</v>
      </c>
      <c r="J3">
        <v>3056.1279535791386</v>
      </c>
      <c r="K3" t="s">
        <v>65</v>
      </c>
      <c r="L3">
        <v>3</v>
      </c>
      <c r="M3">
        <v>-3.7018594142005631E-2</v>
      </c>
      <c r="N3">
        <v>3056.1279535791386</v>
      </c>
      <c r="O3">
        <v>931.59246279437923</v>
      </c>
      <c r="P3">
        <f>E2</f>
        <v>-6.5752168014592341E-5</v>
      </c>
      <c r="Q3">
        <v>0.05</v>
      </c>
      <c r="R3">
        <f t="shared" ref="R3:R41" si="4">P3</f>
        <v>-6.5752168014592341E-5</v>
      </c>
      <c r="S3">
        <v>5.0000000000000001E-3</v>
      </c>
      <c r="T3">
        <v>-5.0000000000000001E-3</v>
      </c>
      <c r="X3">
        <v>0.05</v>
      </c>
      <c r="Y3">
        <f t="shared" ref="Y3:Y20" si="5">0.5*0.05*(B3+B4)</f>
        <v>3.5279697156524303E-3</v>
      </c>
      <c r="Z3">
        <f t="shared" ref="Z3:Z20" si="6">0.5*0.05*(D3+D4)</f>
        <v>1.7266073893923185E-3</v>
      </c>
      <c r="AA3">
        <f>0.5*(Sheet1!J4-Sheet1!J3)*(Sheet1!K4*Sheet1!L4+Sheet1!K3*Sheet1!L3)</f>
        <v>33.330049089683577</v>
      </c>
      <c r="AB3">
        <f>0.5*(Sheet1!M3-Sheet1!M4)*(Sheet1!N3*Sheet1!O3+Sheet1!N4*Sheet1!O4)</f>
        <v>628.08485220000591</v>
      </c>
      <c r="AC3">
        <f>Y3</f>
        <v>3.5279697156524303E-3</v>
      </c>
      <c r="AD3">
        <f>Z3</f>
        <v>1.7266073893923185E-3</v>
      </c>
      <c r="AE3">
        <f t="shared" si="1"/>
        <v>33.330049089683577</v>
      </c>
      <c r="AF3">
        <f t="shared" si="1"/>
        <v>628.08485220000591</v>
      </c>
      <c r="AG3">
        <f t="shared" si="2"/>
        <v>661.41490128968951</v>
      </c>
    </row>
    <row r="4" spans="1:33" x14ac:dyDescent="0.25">
      <c r="A4">
        <f>(Sheet1!K4-MIN(Sheet1!K:K))/(MAX(Sheet1!K:K)-MIN(Sheet1!K:K))</f>
        <v>0.1</v>
      </c>
      <c r="B4">
        <f>(Sheet1!L4-MIN(MIN(Sheet1!L:L),MIN(Sheet1!O:O)))/(MAX(MAX(Sheet1!L:L),MAX(Sheet1!O:O))-MIN(MIN(Sheet1!L:L),MIN(Sheet1!O:O)))</f>
        <v>0.12133896042146852</v>
      </c>
      <c r="C4">
        <f>(Sheet1!N4-MIN(Sheet1!N:N))/(MAX(Sheet1!N:N)-MIN(Sheet1!N:N))</f>
        <v>0.1</v>
      </c>
      <c r="D4">
        <f>(Sheet1!O4-MIN(MIN(Sheet1!L:L),MIN(Sheet1!O:O)))/(MAX(MAX(Sheet1!L:L),MAX(Sheet1!O:O))-MIN(MIN(Sheet1!L:L),MIN(Sheet1!O:O)))</f>
        <v>5.0136964945147126E-2</v>
      </c>
      <c r="E4">
        <f t="shared" si="3"/>
        <v>6.7686333569841666E-3</v>
      </c>
      <c r="F4" t="s">
        <v>62</v>
      </c>
      <c r="P4">
        <f>E3</f>
        <v>1.8013623262601117E-3</v>
      </c>
      <c r="Q4">
        <v>0.05</v>
      </c>
      <c r="R4">
        <f t="shared" si="4"/>
        <v>1.8013623262601117E-3</v>
      </c>
      <c r="S4">
        <v>5.0000000000000001E-3</v>
      </c>
      <c r="T4">
        <v>-5.0000000000000001E-3</v>
      </c>
      <c r="X4">
        <v>0.1</v>
      </c>
      <c r="Y4">
        <f t="shared" si="5"/>
        <v>9.1421103432470924E-3</v>
      </c>
      <c r="Z4">
        <f t="shared" si="6"/>
        <v>2.3734769862629283E-3</v>
      </c>
      <c r="AA4">
        <f>0.5*(Sheet1!J5-Sheet1!J4)*(Sheet1!K5*Sheet1!L5+Sheet1!K4*Sheet1!L4)</f>
        <v>77.408331471133934</v>
      </c>
      <c r="AB4">
        <f>0.5*(Sheet1!M4-Sheet1!M5)*(Sheet1!N4*Sheet1!O4+Sheet1!N5*Sheet1!O5)</f>
        <v>498.28235450159542</v>
      </c>
      <c r="AC4">
        <f>Y3</f>
        <v>3.5279697156524303E-3</v>
      </c>
      <c r="AD4">
        <f>Z3</f>
        <v>1.7266073893923185E-3</v>
      </c>
      <c r="AE4">
        <f t="shared" ref="AE4:AF5" si="7">AA3</f>
        <v>33.330049089683577</v>
      </c>
      <c r="AF4">
        <f t="shared" si="7"/>
        <v>628.08485220000591</v>
      </c>
      <c r="AG4">
        <f t="shared" si="2"/>
        <v>661.41490128968951</v>
      </c>
    </row>
    <row r="5" spans="1:33" x14ac:dyDescent="0.25">
      <c r="A5">
        <f>(Sheet1!K5-MIN(Sheet1!K:K))/(MAX(Sheet1!K:K)-MIN(Sheet1!K:K))</f>
        <v>0.15000000000000002</v>
      </c>
      <c r="B5">
        <f>(Sheet1!L5-MIN(MIN(Sheet1!L:L),MIN(Sheet1!O:O)))/(MAX(MAX(Sheet1!L:L),MAX(Sheet1!O:O))-MIN(MIN(Sheet1!L:L),MIN(Sheet1!O:O)))</f>
        <v>0.2443454533084152</v>
      </c>
      <c r="C5">
        <f>(Sheet1!N5-MIN(Sheet1!N:N))/(MAX(Sheet1!N:N)-MIN(Sheet1!N:N))</f>
        <v>0.15000000000000002</v>
      </c>
      <c r="D5">
        <f>(Sheet1!O5-MIN(MIN(Sheet1!L:L),MIN(Sheet1!O:O)))/(MAX(MAX(Sheet1!L:L),MAX(Sheet1!O:O))-MIN(MIN(Sheet1!L:L),MIN(Sheet1!O:O)))</f>
        <v>4.4802114505370014E-2</v>
      </c>
      <c r="E5">
        <f t="shared" si="3"/>
        <v>1.2305680869266136E-2</v>
      </c>
      <c r="F5" t="s">
        <v>62</v>
      </c>
      <c r="P5">
        <f>E3</f>
        <v>1.8013623262601117E-3</v>
      </c>
      <c r="Q5">
        <v>0.1</v>
      </c>
      <c r="R5">
        <f t="shared" si="4"/>
        <v>1.8013623262601117E-3</v>
      </c>
      <c r="S5">
        <v>5.0000000000000001E-3</v>
      </c>
      <c r="T5">
        <v>-5.0000000000000001E-3</v>
      </c>
      <c r="X5">
        <v>0.1</v>
      </c>
      <c r="Y5">
        <f t="shared" si="5"/>
        <v>1.4762148419622076E-2</v>
      </c>
      <c r="Z5">
        <f t="shared" si="6"/>
        <v>2.456467550355937E-3</v>
      </c>
      <c r="AA5">
        <f>0.5*(Sheet1!J6-Sheet1!J5)*(Sheet1!K6*Sheet1!L6+Sheet1!K5*Sheet1!L5)</f>
        <v>118.14831783338452</v>
      </c>
      <c r="AB5">
        <f>0.5*(Sheet1!M5-Sheet1!M6)*(Sheet1!N5*Sheet1!O5+Sheet1!N6*Sheet1!O6)</f>
        <v>494.21438563033462</v>
      </c>
      <c r="AC5">
        <f>Y4</f>
        <v>9.1421103432470924E-3</v>
      </c>
      <c r="AD5">
        <f>Z4</f>
        <v>2.3734769862629283E-3</v>
      </c>
      <c r="AE5">
        <f t="shared" si="7"/>
        <v>77.408331471133934</v>
      </c>
      <c r="AF5">
        <f t="shared" si="7"/>
        <v>498.28235450159542</v>
      </c>
      <c r="AG5">
        <f t="shared" si="2"/>
        <v>575.6906859727294</v>
      </c>
    </row>
    <row r="6" spans="1:33" x14ac:dyDescent="0.25">
      <c r="A6">
        <f>(Sheet1!K6-MIN(Sheet1!K:K))/(MAX(Sheet1!K:K)-MIN(Sheet1!K:K))</f>
        <v>0.2</v>
      </c>
      <c r="B6">
        <f>(Sheet1!L6-MIN(MIN(Sheet1!L:L),MIN(Sheet1!O:O)))/(MAX(MAX(Sheet1!L:L),MAX(Sheet1!O:O))-MIN(MIN(Sheet1!L:L),MIN(Sheet1!O:O)))</f>
        <v>0.34614048347646786</v>
      </c>
      <c r="C6">
        <f>(Sheet1!N6-MIN(Sheet1!N:N))/(MAX(Sheet1!N:N)-MIN(Sheet1!N:N))</f>
        <v>0.2</v>
      </c>
      <c r="D6">
        <f>(Sheet1!O6-MIN(MIN(Sheet1!L:L),MIN(Sheet1!O:O)))/(MAX(MAX(Sheet1!L:L),MAX(Sheet1!O:O))-MIN(MIN(Sheet1!L:L),MIN(Sheet1!O:O)))</f>
        <v>5.3456587508867462E-2</v>
      </c>
      <c r="E6">
        <f t="shared" si="3"/>
        <v>1.5790968276679623E-2</v>
      </c>
      <c r="F6" t="s">
        <v>62</v>
      </c>
      <c r="P6">
        <f>E4</f>
        <v>6.7686333569841666E-3</v>
      </c>
      <c r="Q6">
        <v>0.1</v>
      </c>
      <c r="R6">
        <f t="shared" si="4"/>
        <v>6.7686333569841666E-3</v>
      </c>
      <c r="S6">
        <v>5.0000000000000001E-3</v>
      </c>
      <c r="T6">
        <v>-5.0000000000000001E-3</v>
      </c>
      <c r="X6">
        <v>0.15000000000000002</v>
      </c>
      <c r="Y6">
        <f t="shared" si="5"/>
        <v>1.9774258382003033E-2</v>
      </c>
      <c r="Z6">
        <f t="shared" si="6"/>
        <v>3.9832901053234093E-3</v>
      </c>
      <c r="AA6">
        <f>0.5*(Sheet1!J7-Sheet1!J6)*(Sheet1!K7*Sheet1!L7+Sheet1!K6*Sheet1!L6)</f>
        <v>181.35365590405033</v>
      </c>
      <c r="AB6">
        <f>0.5*(Sheet1!M6-Sheet1!M7)*(Sheet1!N6*Sheet1!O6+Sheet1!N7*Sheet1!O7)</f>
        <v>2121.9108354074883</v>
      </c>
      <c r="AC6">
        <f>Y4</f>
        <v>9.1421103432470924E-3</v>
      </c>
      <c r="AD6">
        <f>Z4</f>
        <v>2.3734769862629283E-3</v>
      </c>
      <c r="AE6">
        <f t="shared" ref="AE6:AF6" si="8">AA4</f>
        <v>77.408331471133934</v>
      </c>
      <c r="AF6">
        <f t="shared" si="8"/>
        <v>498.28235450159542</v>
      </c>
      <c r="AG6">
        <f t="shared" si="2"/>
        <v>575.6906859727294</v>
      </c>
    </row>
    <row r="7" spans="1:33" x14ac:dyDescent="0.25">
      <c r="A7">
        <f>(Sheet1!K7-MIN(Sheet1!K:K))/(MAX(Sheet1!K:K)-MIN(Sheet1!K:K))</f>
        <v>0.25</v>
      </c>
      <c r="B7">
        <f>(Sheet1!L7-MIN(MIN(Sheet1!L:L),MIN(Sheet1!O:O)))/(MAX(MAX(Sheet1!L:L),MAX(Sheet1!O:O))-MIN(MIN(Sheet1!L:L),MIN(Sheet1!O:O)))</f>
        <v>0.44482985180365342</v>
      </c>
      <c r="C7">
        <f>(Sheet1!N7-MIN(Sheet1!N:N))/(MAX(Sheet1!N:N)-MIN(Sheet1!N:N))</f>
        <v>0.25</v>
      </c>
      <c r="D7">
        <f>(Sheet1!O7-MIN(MIN(Sheet1!L:L),MIN(Sheet1!O:O)))/(MAX(MAX(Sheet1!L:L),MAX(Sheet1!O:O))-MIN(MIN(Sheet1!L:L),MIN(Sheet1!O:O)))</f>
        <v>0.10587501670406887</v>
      </c>
      <c r="E7">
        <f t="shared" si="3"/>
        <v>1.867443479928271E-2</v>
      </c>
      <c r="F7" t="s">
        <v>62</v>
      </c>
      <c r="P7">
        <f>E4</f>
        <v>6.7686333569841666E-3</v>
      </c>
      <c r="Q7">
        <v>0.15</v>
      </c>
      <c r="R7">
        <f t="shared" si="4"/>
        <v>6.7686333569841666E-3</v>
      </c>
      <c r="S7">
        <v>5.0000000000000001E-3</v>
      </c>
      <c r="T7">
        <v>-5.0000000000000001E-3</v>
      </c>
      <c r="X7">
        <v>0.15000000000000002</v>
      </c>
      <c r="Y7">
        <f t="shared" si="5"/>
        <v>2.4321733360686184E-2</v>
      </c>
      <c r="Z7">
        <f t="shared" si="6"/>
        <v>5.64729856140347E-3</v>
      </c>
      <c r="AA7">
        <f>0.5*(Sheet1!J8-Sheet1!J7)*(Sheet1!K8*Sheet1!L8+Sheet1!K7*Sheet1!L7)</f>
        <v>257.53267944648314</v>
      </c>
      <c r="AB7">
        <f>0.5*(Sheet1!M7-Sheet1!M8)*(Sheet1!N7*Sheet1!O7+Sheet1!N8*Sheet1!O8)</f>
        <v>727.38703283046686</v>
      </c>
      <c r="AC7">
        <f>Y5</f>
        <v>1.4762148419622076E-2</v>
      </c>
      <c r="AD7">
        <f>Z5</f>
        <v>2.456467550355937E-3</v>
      </c>
      <c r="AE7">
        <f t="shared" ref="AE7:AF7" si="9">AA5</f>
        <v>118.14831783338452</v>
      </c>
      <c r="AF7">
        <f t="shared" si="9"/>
        <v>494.21438563033462</v>
      </c>
      <c r="AG7">
        <f t="shared" si="2"/>
        <v>612.36270346371919</v>
      </c>
    </row>
    <row r="8" spans="1:33" x14ac:dyDescent="0.25">
      <c r="A8">
        <f>(Sheet1!K8-MIN(Sheet1!K:K))/(MAX(Sheet1!K:K)-MIN(Sheet1!K:K))</f>
        <v>0.3</v>
      </c>
      <c r="B8">
        <f>(Sheet1!L8-MIN(MIN(Sheet1!L:L),MIN(Sheet1!O:O)))/(MAX(MAX(Sheet1!L:L),MAX(Sheet1!O:O))-MIN(MIN(Sheet1!L:L),MIN(Sheet1!O:O)))</f>
        <v>0.52803948262379385</v>
      </c>
      <c r="C8">
        <f>(Sheet1!N8-MIN(Sheet1!N:N))/(MAX(Sheet1!N:N)-MIN(Sheet1!N:N))</f>
        <v>0.3</v>
      </c>
      <c r="D8">
        <f>(Sheet1!O8-MIN(MIN(Sheet1!L:L),MIN(Sheet1!O:O)))/(MAX(MAX(Sheet1!L:L),MAX(Sheet1!O:O))-MIN(MIN(Sheet1!L:L),MIN(Sheet1!O:O)))</f>
        <v>0.1200169257520699</v>
      </c>
      <c r="E8">
        <f t="shared" si="3"/>
        <v>2.1100150522455407E-2</v>
      </c>
      <c r="F8" t="s">
        <v>62</v>
      </c>
      <c r="P8">
        <f>E5</f>
        <v>1.2305680869266136E-2</v>
      </c>
      <c r="Q8">
        <v>0.15</v>
      </c>
      <c r="R8">
        <f t="shared" si="4"/>
        <v>1.2305680869266136E-2</v>
      </c>
      <c r="S8">
        <v>5.0000000000000001E-3</v>
      </c>
      <c r="T8">
        <v>-5.0000000000000001E-3</v>
      </c>
      <c r="X8">
        <v>0.2</v>
      </c>
      <c r="Y8">
        <f t="shared" si="5"/>
        <v>2.7413556580735406E-2</v>
      </c>
      <c r="Z8">
        <f t="shared" si="6"/>
        <v>6.3134060582799943E-3</v>
      </c>
      <c r="AA8">
        <f>0.5*(Sheet1!J9-Sheet1!J8)*(Sheet1!K9*Sheet1!L9+Sheet1!K8*Sheet1!L8)</f>
        <v>322.12479529529418</v>
      </c>
      <c r="AB8">
        <f>0.5*(Sheet1!M8-Sheet1!M9)*(Sheet1!N8*Sheet1!O8+Sheet1!N9*Sheet1!O9)</f>
        <v>753.76772388365669</v>
      </c>
      <c r="AC8">
        <f>Y5</f>
        <v>1.4762148419622076E-2</v>
      </c>
      <c r="AD8">
        <f>Z5</f>
        <v>2.456467550355937E-3</v>
      </c>
      <c r="AE8">
        <f t="shared" ref="AE8:AF8" si="10">AA5</f>
        <v>118.14831783338452</v>
      </c>
      <c r="AF8">
        <f t="shared" si="10"/>
        <v>494.21438563033462</v>
      </c>
      <c r="AG8">
        <f t="shared" si="2"/>
        <v>612.36270346371919</v>
      </c>
    </row>
    <row r="9" spans="1:33" x14ac:dyDescent="0.25">
      <c r="A9">
        <f>(Sheet1!K9-MIN(Sheet1!K:K))/(MAX(Sheet1!K:K)-MIN(Sheet1!K:K))</f>
        <v>0.35</v>
      </c>
      <c r="B9">
        <f>(Sheet1!L9-MIN(MIN(Sheet1!L:L),MIN(Sheet1!O:O)))/(MAX(MAX(Sheet1!L:L),MAX(Sheet1!O:O))-MIN(MIN(Sheet1!L:L),MIN(Sheet1!O:O)))</f>
        <v>0.56850278060562232</v>
      </c>
      <c r="C9">
        <f>(Sheet1!N9-MIN(Sheet1!N:N))/(MAX(Sheet1!N:N)-MIN(Sheet1!N:N))</f>
        <v>0.35</v>
      </c>
      <c r="D9">
        <f>(Sheet1!O9-MIN(MIN(Sheet1!L:L),MIN(Sheet1!O:O)))/(MAX(MAX(Sheet1!L:L),MAX(Sheet1!O:O))-MIN(MIN(Sheet1!L:L),MIN(Sheet1!O:O)))</f>
        <v>0.13251931657912988</v>
      </c>
      <c r="E9">
        <f t="shared" si="3"/>
        <v>2.2461318188945242E-2</v>
      </c>
      <c r="F9" t="s">
        <v>62</v>
      </c>
      <c r="P9">
        <f>E5</f>
        <v>1.2305680869266136E-2</v>
      </c>
      <c r="Q9">
        <v>0.2</v>
      </c>
      <c r="R9">
        <f t="shared" si="4"/>
        <v>1.2305680869266136E-2</v>
      </c>
      <c r="S9">
        <v>5.0000000000000001E-3</v>
      </c>
      <c r="T9">
        <v>-5.0000000000000001E-3</v>
      </c>
      <c r="X9">
        <v>0.2</v>
      </c>
      <c r="Y9">
        <f t="shared" si="5"/>
        <v>2.9436721485572793E-2</v>
      </c>
      <c r="Z9">
        <f t="shared" si="6"/>
        <v>6.9754032966275192E-3</v>
      </c>
      <c r="AA9">
        <f>0.5*(Sheet1!J10-Sheet1!J9)*(Sheet1!K10*Sheet1!L10+Sheet1!K9*Sheet1!L9)</f>
        <v>390.05799086224613</v>
      </c>
      <c r="AB9">
        <f>0.5*(Sheet1!M9-Sheet1!M10)*(Sheet1!N9*Sheet1!O9+Sheet1!N10*Sheet1!O10)</f>
        <v>873.77336605919186</v>
      </c>
      <c r="AC9">
        <f>Y6</f>
        <v>1.9774258382003033E-2</v>
      </c>
      <c r="AD9">
        <f>Z6</f>
        <v>3.9832901053234093E-3</v>
      </c>
      <c r="AE9">
        <f t="shared" ref="AE9:AF9" si="11">AA6</f>
        <v>181.35365590405033</v>
      </c>
      <c r="AF9">
        <f t="shared" si="11"/>
        <v>2121.9108354074883</v>
      </c>
      <c r="AG9">
        <f t="shared" si="2"/>
        <v>2303.2644913115387</v>
      </c>
    </row>
    <row r="10" spans="1:33" x14ac:dyDescent="0.25">
      <c r="A10">
        <f>(Sheet1!K10-MIN(Sheet1!K:K))/(MAX(Sheet1!K:K)-MIN(Sheet1!K:K))</f>
        <v>0.39999999999999991</v>
      </c>
      <c r="B10">
        <f>(Sheet1!L10-MIN(MIN(Sheet1!L:L),MIN(Sheet1!O:O)))/(MAX(MAX(Sheet1!L:L),MAX(Sheet1!O:O))-MIN(MIN(Sheet1!L:L),MIN(Sheet1!O:O)))</f>
        <v>0.60896607881728948</v>
      </c>
      <c r="C10">
        <f>(Sheet1!N10-MIN(Sheet1!N:N))/(MAX(Sheet1!N:N)-MIN(Sheet1!N:N))</f>
        <v>0.39999999999999991</v>
      </c>
      <c r="D10">
        <f>(Sheet1!O10-MIN(MIN(Sheet1!L:L),MIN(Sheet1!O:O)))/(MAX(MAX(Sheet1!L:L),MAX(Sheet1!O:O))-MIN(MIN(Sheet1!L:L),MIN(Sheet1!O:O)))</f>
        <v>0.14649681528597086</v>
      </c>
      <c r="E10">
        <f t="shared" si="3"/>
        <v>2.3601407012687044E-2</v>
      </c>
      <c r="F10" t="s">
        <v>62</v>
      </c>
      <c r="P10">
        <f>E6</f>
        <v>1.5790968276679623E-2</v>
      </c>
      <c r="Q10">
        <v>0.2</v>
      </c>
      <c r="R10">
        <f t="shared" si="4"/>
        <v>1.5790968276679623E-2</v>
      </c>
      <c r="S10">
        <v>5.0000000000000001E-3</v>
      </c>
      <c r="T10">
        <v>-5.0000000000000001E-3</v>
      </c>
      <c r="X10">
        <v>0.25</v>
      </c>
      <c r="Y10">
        <f t="shared" si="5"/>
        <v>3.1152411607907105E-2</v>
      </c>
      <c r="Z10">
        <f t="shared" si="6"/>
        <v>7.5510045952200573E-3</v>
      </c>
      <c r="AA10">
        <f>0.5*(Sheet1!J11-Sheet1!J10)*(Sheet1!K11*Sheet1!L11+Sheet1!K10*Sheet1!L10)</f>
        <v>488.45913842243624</v>
      </c>
      <c r="AB10">
        <f>0.5*(Sheet1!M10-Sheet1!M11)*(Sheet1!N10*Sheet1!O10+Sheet1!N11*Sheet1!O11)</f>
        <v>664.8086143240713</v>
      </c>
      <c r="AC10">
        <f>Y6</f>
        <v>1.9774258382003033E-2</v>
      </c>
      <c r="AD10">
        <f>Z6</f>
        <v>3.9832901053234093E-3</v>
      </c>
      <c r="AE10">
        <f t="shared" ref="AE10:AF10" si="12">AA6</f>
        <v>181.35365590405033</v>
      </c>
      <c r="AF10">
        <f t="shared" si="12"/>
        <v>2121.9108354074883</v>
      </c>
      <c r="AG10">
        <f t="shared" si="2"/>
        <v>2303.2644913115387</v>
      </c>
    </row>
    <row r="11" spans="1:33" x14ac:dyDescent="0.25">
      <c r="A11">
        <f>(Sheet1!K11-MIN(Sheet1!K:K))/(MAX(Sheet1!K:K)-MIN(Sheet1!K:K))</f>
        <v>0.4499999999999999</v>
      </c>
      <c r="B11">
        <f>(Sheet1!L11-MIN(MIN(Sheet1!L:L),MIN(Sheet1!O:O)))/(MAX(MAX(Sheet1!L:L),MAX(Sheet1!O:O))-MIN(MIN(Sheet1!L:L),MIN(Sheet1!O:O)))</f>
        <v>0.63713038549899459</v>
      </c>
      <c r="C11">
        <f>(Sheet1!N11-MIN(Sheet1!N:N))/(MAX(Sheet1!N:N)-MIN(Sheet1!N:N))</f>
        <v>0.4499999999999999</v>
      </c>
      <c r="D11">
        <f>(Sheet1!O11-MIN(MIN(Sheet1!L:L),MIN(Sheet1!O:O)))/(MAX(MAX(Sheet1!L:L),MAX(Sheet1!O:O))-MIN(MIN(Sheet1!L:L),MIN(Sheet1!O:O)))</f>
        <v>0.15554336852283143</v>
      </c>
      <c r="E11">
        <f t="shared" si="3"/>
        <v>2.4156340607255897E-2</v>
      </c>
      <c r="F11" t="s">
        <v>62</v>
      </c>
      <c r="P11">
        <f>E6</f>
        <v>1.5790968276679623E-2</v>
      </c>
      <c r="Q11">
        <v>0.25</v>
      </c>
      <c r="R11">
        <f t="shared" si="4"/>
        <v>1.5790968276679623E-2</v>
      </c>
      <c r="S11">
        <v>5.0000000000000001E-3</v>
      </c>
      <c r="T11">
        <v>-5.0000000000000001E-3</v>
      </c>
      <c r="X11">
        <v>0.25</v>
      </c>
      <c r="Y11">
        <f t="shared" si="5"/>
        <v>3.2314262171049234E-2</v>
      </c>
      <c r="Z11">
        <f t="shared" si="6"/>
        <v>8.1579215637933335E-3</v>
      </c>
      <c r="AA11">
        <f>0.5*(Sheet1!J12-Sheet1!J11)*(Sheet1!K12*Sheet1!L12+Sheet1!K11*Sheet1!L11)</f>
        <v>584.78622795315187</v>
      </c>
      <c r="AB11">
        <f>0.5*(Sheet1!M11-Sheet1!M12)*(Sheet1!N11*Sheet1!O11+Sheet1!N12*Sheet1!O12)</f>
        <v>706.36193824602765</v>
      </c>
      <c r="AC11">
        <f>Y7</f>
        <v>2.4321733360686184E-2</v>
      </c>
      <c r="AD11">
        <f>Z7</f>
        <v>5.64729856140347E-3</v>
      </c>
      <c r="AE11">
        <f t="shared" ref="AE11:AF11" si="13">AA7</f>
        <v>257.53267944648314</v>
      </c>
      <c r="AF11">
        <f t="shared" si="13"/>
        <v>727.38703283046686</v>
      </c>
      <c r="AG11">
        <f t="shared" si="2"/>
        <v>984.91971227695001</v>
      </c>
    </row>
    <row r="12" spans="1:33" x14ac:dyDescent="0.25">
      <c r="A12">
        <f>(Sheet1!K12-MIN(Sheet1!K:K))/(MAX(Sheet1!K:K)-MIN(Sheet1!K:K))</f>
        <v>0.49999999999999989</v>
      </c>
      <c r="B12">
        <f>(Sheet1!L12-MIN(MIN(Sheet1!L:L),MIN(Sheet1!O:O)))/(MAX(MAX(Sheet1!L:L),MAX(Sheet1!O:O))-MIN(MIN(Sheet1!L:L),MIN(Sheet1!O:O)))</f>
        <v>0.65544010134297492</v>
      </c>
      <c r="C12">
        <f>(Sheet1!N12-MIN(Sheet1!N:N))/(MAX(Sheet1!N:N)-MIN(Sheet1!N:N))</f>
        <v>0.49999999999999989</v>
      </c>
      <c r="D12">
        <f>(Sheet1!O12-MIN(MIN(Sheet1!L:L),MIN(Sheet1!O:O)))/(MAX(MAX(Sheet1!L:L),MAX(Sheet1!O:O))-MIN(MIN(Sheet1!L:L),MIN(Sheet1!O:O)))</f>
        <v>0.17077349402890185</v>
      </c>
      <c r="E12">
        <f t="shared" si="3"/>
        <v>2.4310117960237566E-2</v>
      </c>
      <c r="F12" t="s">
        <v>62</v>
      </c>
      <c r="P12">
        <f>E7</f>
        <v>1.867443479928271E-2</v>
      </c>
      <c r="Q12">
        <v>0.25</v>
      </c>
      <c r="R12">
        <f t="shared" si="4"/>
        <v>1.867443479928271E-2</v>
      </c>
      <c r="S12">
        <v>5.0000000000000001E-3</v>
      </c>
      <c r="T12">
        <v>-5.0000000000000001E-3</v>
      </c>
      <c r="X12">
        <v>0.3</v>
      </c>
      <c r="Y12">
        <f t="shared" si="5"/>
        <v>3.3252177758562852E-2</v>
      </c>
      <c r="Z12">
        <f t="shared" si="6"/>
        <v>8.9420597983252501E-3</v>
      </c>
      <c r="AA12">
        <f>0.5*(Sheet1!J13-Sheet1!J12)*(Sheet1!K13*Sheet1!L13+Sheet1!K12*Sheet1!L12)</f>
        <v>689.67604612355808</v>
      </c>
      <c r="AB12">
        <f>0.5*(Sheet1!M12-Sheet1!M13)*(Sheet1!N12*Sheet1!O12+Sheet1!N13*Sheet1!O13)</f>
        <v>894.51144329280612</v>
      </c>
      <c r="AC12">
        <f>Y7</f>
        <v>2.4321733360686184E-2</v>
      </c>
      <c r="AD12">
        <f>Z7</f>
        <v>5.64729856140347E-3</v>
      </c>
      <c r="AE12">
        <f t="shared" ref="AE12:AF12" si="14">AA7</f>
        <v>257.53267944648314</v>
      </c>
      <c r="AF12">
        <f t="shared" si="14"/>
        <v>727.38703283046686</v>
      </c>
      <c r="AG12">
        <f t="shared" si="2"/>
        <v>984.91971227695001</v>
      </c>
    </row>
    <row r="13" spans="1:33" x14ac:dyDescent="0.25">
      <c r="A13">
        <f>(Sheet1!K13-MIN(Sheet1!K:K))/(MAX(Sheet1!K:K)-MIN(Sheet1!K:K))</f>
        <v>0.54999999999999982</v>
      </c>
      <c r="B13">
        <f>(Sheet1!L13-MIN(MIN(Sheet1!L:L),MIN(Sheet1!O:O)))/(MAX(MAX(Sheet1!L:L),MAX(Sheet1!O:O))-MIN(MIN(Sheet1!L:L),MIN(Sheet1!O:O)))</f>
        <v>0.67464700899953922</v>
      </c>
      <c r="C13">
        <f>(Sheet1!N13-MIN(Sheet1!N:N))/(MAX(Sheet1!N:N)-MIN(Sheet1!N:N))</f>
        <v>0.54999999999999982</v>
      </c>
      <c r="D13">
        <f>(Sheet1!O13-MIN(MIN(Sheet1!L:L),MIN(Sheet1!O:O)))/(MAX(MAX(Sheet1!L:L),MAX(Sheet1!O:O))-MIN(MIN(Sheet1!L:L),MIN(Sheet1!O:O)))</f>
        <v>0.18690889790410814</v>
      </c>
      <c r="E13">
        <f t="shared" si="3"/>
        <v>2.423690295832933E-2</v>
      </c>
      <c r="F13" t="s">
        <v>62</v>
      </c>
      <c r="P13">
        <f>E7</f>
        <v>1.867443479928271E-2</v>
      </c>
      <c r="Q13">
        <v>0.3</v>
      </c>
      <c r="R13">
        <f t="shared" si="4"/>
        <v>1.867443479928271E-2</v>
      </c>
      <c r="S13">
        <v>5.0000000000000001E-3</v>
      </c>
      <c r="T13">
        <v>-5.0000000000000001E-3</v>
      </c>
      <c r="X13">
        <v>0.3</v>
      </c>
      <c r="Y13">
        <f t="shared" si="5"/>
        <v>3.4373190503059071E-2</v>
      </c>
      <c r="Z13">
        <f t="shared" si="6"/>
        <v>1.0136287544729759E-2</v>
      </c>
      <c r="AA13">
        <f>0.5*(Sheet1!J14-Sheet1!J13)*(Sheet1!K14*Sheet1!L14+Sheet1!K13*Sheet1!L13)</f>
        <v>1032.2143492220898</v>
      </c>
      <c r="AB13">
        <f>0.5*(Sheet1!M13-Sheet1!M14)*(Sheet1!N13*Sheet1!O13+Sheet1!N14*Sheet1!O14)</f>
        <v>1110.1107295046991</v>
      </c>
      <c r="AC13">
        <f>Y8</f>
        <v>2.7413556580735406E-2</v>
      </c>
      <c r="AD13">
        <f>Z8</f>
        <v>6.3134060582799943E-3</v>
      </c>
      <c r="AE13">
        <f t="shared" ref="AE13:AF13" si="15">AA8</f>
        <v>322.12479529529418</v>
      </c>
      <c r="AF13">
        <f t="shared" si="15"/>
        <v>753.76772388365669</v>
      </c>
      <c r="AG13">
        <f t="shared" si="2"/>
        <v>1075.8925191789508</v>
      </c>
    </row>
    <row r="14" spans="1:33" x14ac:dyDescent="0.25">
      <c r="A14">
        <f>(Sheet1!K14-MIN(Sheet1!K:K))/(MAX(Sheet1!K:K)-MIN(Sheet1!K:K))</f>
        <v>0.59999999999999987</v>
      </c>
      <c r="B14">
        <f>(Sheet1!L14-MIN(MIN(Sheet1!L:L),MIN(Sheet1!O:O)))/(MAX(MAX(Sheet1!L:L),MAX(Sheet1!O:O))-MIN(MIN(Sheet1!L:L),MIN(Sheet1!O:O)))</f>
        <v>0.70028061112282358</v>
      </c>
      <c r="C14">
        <f>(Sheet1!N14-MIN(Sheet1!N:N))/(MAX(Sheet1!N:N)-MIN(Sheet1!N:N))</f>
        <v>0.59999999999999987</v>
      </c>
      <c r="D14">
        <f>(Sheet1!O14-MIN(MIN(Sheet1!L:L),MIN(Sheet1!O:O)))/(MAX(MAX(Sheet1!L:L),MAX(Sheet1!O:O))-MIN(MIN(Sheet1!L:L),MIN(Sheet1!O:O)))</f>
        <v>0.2185426038850822</v>
      </c>
      <c r="E14">
        <f t="shared" si="3"/>
        <v>2.2980756859384194E-2</v>
      </c>
      <c r="F14" t="s">
        <v>62</v>
      </c>
      <c r="P14">
        <f>E8</f>
        <v>2.1100150522455407E-2</v>
      </c>
      <c r="Q14">
        <v>0.3</v>
      </c>
      <c r="R14">
        <f t="shared" si="4"/>
        <v>2.1100150522455407E-2</v>
      </c>
      <c r="S14">
        <v>5.0000000000000001E-3</v>
      </c>
      <c r="T14">
        <v>-5.0000000000000001E-3</v>
      </c>
      <c r="X14">
        <v>0.35</v>
      </c>
      <c r="Y14">
        <f t="shared" si="5"/>
        <v>3.4723088307305271E-2</v>
      </c>
      <c r="Z14">
        <f t="shared" si="6"/>
        <v>1.1742331447921051E-2</v>
      </c>
      <c r="AA14">
        <f>0.5*(Sheet1!J15-Sheet1!J14)*(Sheet1!K15*Sheet1!L15+Sheet1!K14*Sheet1!L14)</f>
        <v>1651.3932643075218</v>
      </c>
      <c r="AB14">
        <f>0.5*(Sheet1!M14-Sheet1!M15)*(Sheet1!N14*Sheet1!O14+Sheet1!N15*Sheet1!O15)</f>
        <v>1392.7172379530882</v>
      </c>
      <c r="AC14">
        <f>Y8</f>
        <v>2.7413556580735406E-2</v>
      </c>
      <c r="AD14">
        <f>Z8</f>
        <v>6.3134060582799943E-3</v>
      </c>
      <c r="AE14">
        <f t="shared" ref="AE14:AF14" si="16">AA8</f>
        <v>322.12479529529418</v>
      </c>
      <c r="AF14">
        <f t="shared" si="16"/>
        <v>753.76772388365669</v>
      </c>
      <c r="AG14">
        <f t="shared" si="2"/>
        <v>1075.8925191789508</v>
      </c>
    </row>
    <row r="15" spans="1:33" x14ac:dyDescent="0.25">
      <c r="A15">
        <f>(Sheet1!K15-MIN(Sheet1!K:K))/(MAX(Sheet1!K:K)-MIN(Sheet1!K:K))</f>
        <v>0.6499999999999998</v>
      </c>
      <c r="B15">
        <f>(Sheet1!L15-MIN(MIN(Sheet1!L:L),MIN(Sheet1!O:O)))/(MAX(MAX(Sheet1!L:L),MAX(Sheet1!O:O))-MIN(MIN(Sheet1!L:L),MIN(Sheet1!O:O)))</f>
        <v>0.68864292116938741</v>
      </c>
      <c r="C15">
        <f>(Sheet1!N15-MIN(Sheet1!N:N))/(MAX(Sheet1!N:N)-MIN(Sheet1!N:N))</f>
        <v>0.6499999999999998</v>
      </c>
      <c r="D15">
        <f>(Sheet1!O15-MIN(MIN(Sheet1!L:L),MIN(Sheet1!O:O)))/(MAX(MAX(Sheet1!L:L),MAX(Sheet1!O:O))-MIN(MIN(Sheet1!L:L),MIN(Sheet1!O:O)))</f>
        <v>0.25115065403175979</v>
      </c>
      <c r="E15">
        <f t="shared" si="3"/>
        <v>1.451935361233196E-2</v>
      </c>
      <c r="F15" t="s">
        <v>62</v>
      </c>
      <c r="P15">
        <f>E8</f>
        <v>2.1100150522455407E-2</v>
      </c>
      <c r="Q15">
        <v>0.35</v>
      </c>
      <c r="R15">
        <f t="shared" si="4"/>
        <v>2.1100150522455407E-2</v>
      </c>
      <c r="S15">
        <v>5.0000000000000001E-3</v>
      </c>
      <c r="T15">
        <v>-5.0000000000000001E-3</v>
      </c>
      <c r="X15">
        <v>0.35</v>
      </c>
      <c r="Y15">
        <f t="shared" si="5"/>
        <v>2.8007073430083199E-2</v>
      </c>
      <c r="Z15">
        <f t="shared" si="6"/>
        <v>1.3487719817751249E-2</v>
      </c>
      <c r="AA15">
        <f>0.5*(Sheet1!J16-Sheet1!J15)*(Sheet1!K16*Sheet1!L16+Sheet1!K15*Sheet1!L15)</f>
        <v>16169.137991752516</v>
      </c>
      <c r="AB15">
        <f>0.5*(Sheet1!M15-Sheet1!M16)*(Sheet1!N15*Sheet1!O15+Sheet1!N16*Sheet1!O16)</f>
        <v>1689.6241754367773</v>
      </c>
      <c r="AC15">
        <f>Y9</f>
        <v>2.9436721485572793E-2</v>
      </c>
      <c r="AD15">
        <f>Z9</f>
        <v>6.9754032966275192E-3</v>
      </c>
      <c r="AE15">
        <f t="shared" ref="AE15:AF15" si="17">AA9</f>
        <v>390.05799086224613</v>
      </c>
      <c r="AF15">
        <f t="shared" si="17"/>
        <v>873.77336605919186</v>
      </c>
      <c r="AG15">
        <f t="shared" si="2"/>
        <v>1263.8313569214379</v>
      </c>
    </row>
    <row r="16" spans="1:33" x14ac:dyDescent="0.25">
      <c r="A16">
        <f>(Sheet1!K16-MIN(Sheet1!K:K))/(MAX(Sheet1!K:K)-MIN(Sheet1!K:K))</f>
        <v>0.69999999999999984</v>
      </c>
      <c r="B16">
        <f>(Sheet1!L16-MIN(MIN(Sheet1!L:L),MIN(Sheet1!O:O)))/(MAX(MAX(Sheet1!L:L),MAX(Sheet1!O:O))-MIN(MIN(Sheet1!L:L),MIN(Sheet1!O:O)))</f>
        <v>0.43164001603394048</v>
      </c>
      <c r="C16">
        <f>(Sheet1!N16-MIN(Sheet1!N:N))/(MAX(Sheet1!N:N)-MIN(Sheet1!N:N))</f>
        <v>0.69999999999999984</v>
      </c>
      <c r="D16">
        <f>(Sheet1!O16-MIN(MIN(Sheet1!L:L),MIN(Sheet1!O:O)))/(MAX(MAX(Sheet1!L:L),MAX(Sheet1!O:O))-MIN(MIN(Sheet1!L:L),MIN(Sheet1!O:O)))</f>
        <v>0.28835813867829008</v>
      </c>
      <c r="E16">
        <f t="shared" si="3"/>
        <v>6.0884602058370787E-3</v>
      </c>
      <c r="F16" t="s">
        <v>62</v>
      </c>
      <c r="P16">
        <f>E9</f>
        <v>2.2461318188945242E-2</v>
      </c>
      <c r="Q16">
        <v>0.35</v>
      </c>
      <c r="R16">
        <f t="shared" si="4"/>
        <v>2.2461318188945242E-2</v>
      </c>
      <c r="S16">
        <v>5.0000000000000001E-3</v>
      </c>
      <c r="T16">
        <v>-5.0000000000000001E-3</v>
      </c>
      <c r="X16">
        <v>0.39999999999999991</v>
      </c>
      <c r="Y16">
        <f t="shared" si="5"/>
        <v>2.1281537431457484E-2</v>
      </c>
      <c r="Z16">
        <f t="shared" si="6"/>
        <v>1.5193077225620395E-2</v>
      </c>
      <c r="AA16">
        <f>0.5*(Sheet1!J17-Sheet1!J16)*(Sheet1!K17*Sheet1!L17+Sheet1!K16*Sheet1!L16)</f>
        <v>1421.5201963758007</v>
      </c>
      <c r="AB16">
        <f>0.5*(Sheet1!M16-Sheet1!M17)*(Sheet1!N16*Sheet1!O16+Sheet1!N17*Sheet1!O17)</f>
        <v>1521.5337625164436</v>
      </c>
      <c r="AC16">
        <f>Y9</f>
        <v>2.9436721485572793E-2</v>
      </c>
      <c r="AD16">
        <f>Z9</f>
        <v>6.9754032966275192E-3</v>
      </c>
      <c r="AE16">
        <f t="shared" ref="AE16:AF16" si="18">AA9</f>
        <v>390.05799086224613</v>
      </c>
      <c r="AF16">
        <f t="shared" si="18"/>
        <v>873.77336605919186</v>
      </c>
      <c r="AG16">
        <f t="shared" si="2"/>
        <v>1263.8313569214379</v>
      </c>
    </row>
    <row r="17" spans="1:33" x14ac:dyDescent="0.25">
      <c r="A17">
        <f>(Sheet1!K17-MIN(Sheet1!K:K))/(MAX(Sheet1!K:K)-MIN(Sheet1!K:K))</f>
        <v>0.74999999999999978</v>
      </c>
      <c r="B17">
        <f>(Sheet1!L17-MIN(MIN(Sheet1!L:L),MIN(Sheet1!O:O)))/(MAX(MAX(Sheet1!L:L),MAX(Sheet1!O:O))-MIN(MIN(Sheet1!L:L),MIN(Sheet1!O:O)))</f>
        <v>0.41962148122435872</v>
      </c>
      <c r="C17">
        <f>(Sheet1!N17-MIN(Sheet1!N:N))/(MAX(Sheet1!N:N)-MIN(Sheet1!N:N))</f>
        <v>0.74999999999999978</v>
      </c>
      <c r="D17">
        <f>(Sheet1!O17-MIN(MIN(Sheet1!L:L),MIN(Sheet1!O:O)))/(MAX(MAX(Sheet1!L:L),MAX(Sheet1!O:O))-MIN(MIN(Sheet1!L:L),MIN(Sheet1!O:O)))</f>
        <v>0.31936495034652568</v>
      </c>
      <c r="E17">
        <f t="shared" si="3"/>
        <v>4.0107310079944315E-3</v>
      </c>
      <c r="F17" t="s">
        <v>86</v>
      </c>
      <c r="P17">
        <f>E9</f>
        <v>2.2461318188945242E-2</v>
      </c>
      <c r="Q17">
        <v>0.4</v>
      </c>
      <c r="R17">
        <f t="shared" si="4"/>
        <v>2.2461318188945242E-2</v>
      </c>
      <c r="S17">
        <v>5.0000000000000001E-3</v>
      </c>
      <c r="T17">
        <v>-5.0000000000000001E-3</v>
      </c>
      <c r="X17">
        <v>0.39999999999999991</v>
      </c>
      <c r="Y17">
        <f t="shared" si="5"/>
        <v>2.0880942803279515E-2</v>
      </c>
      <c r="Z17">
        <f t="shared" si="6"/>
        <v>1.687021179528508E-2</v>
      </c>
      <c r="AA17">
        <f>0.5*(Sheet1!J18-Sheet1!J17)*(Sheet1!K18*Sheet1!L18+Sheet1!K17*Sheet1!L17)</f>
        <v>515.11469185567989</v>
      </c>
      <c r="AB17">
        <f>0.5*(Sheet1!M17-Sheet1!M18)*(Sheet1!N17*Sheet1!O17+Sheet1!N18*Sheet1!O18)</f>
        <v>2104.8021262087759</v>
      </c>
      <c r="AC17">
        <f>Y10</f>
        <v>3.1152411607907105E-2</v>
      </c>
      <c r="AD17">
        <f>Z10</f>
        <v>7.5510045952200573E-3</v>
      </c>
      <c r="AE17">
        <f t="shared" ref="AE17:AF17" si="19">AA10</f>
        <v>488.45913842243624</v>
      </c>
      <c r="AF17">
        <f t="shared" si="19"/>
        <v>664.8086143240713</v>
      </c>
      <c r="AG17">
        <f t="shared" si="2"/>
        <v>1153.2677527465075</v>
      </c>
    </row>
    <row r="18" spans="1:33" x14ac:dyDescent="0.25">
      <c r="A18">
        <f>(Sheet1!K18-MIN(Sheet1!K:K))/(MAX(Sheet1!K:K)-MIN(Sheet1!K:K))</f>
        <v>0.79999999999999971</v>
      </c>
      <c r="B18">
        <f>(Sheet1!L18-MIN(MIN(Sheet1!L:L),MIN(Sheet1!O:O)))/(MAX(MAX(Sheet1!L:L),MAX(Sheet1!O:O))-MIN(MIN(Sheet1!L:L),MIN(Sheet1!O:O)))</f>
        <v>0.41561623090682187</v>
      </c>
      <c r="C18">
        <f>(Sheet1!N18-MIN(Sheet1!N:N))/(MAX(Sheet1!N:N)-MIN(Sheet1!N:N))</f>
        <v>0.79999999999999971</v>
      </c>
      <c r="D18">
        <f>(Sheet1!O18-MIN(MIN(Sheet1!L:L),MIN(Sheet1!O:O)))/(MAX(MAX(Sheet1!L:L),MAX(Sheet1!O:O))-MIN(MIN(Sheet1!L:L),MIN(Sheet1!O:O)))</f>
        <v>0.35544352146487745</v>
      </c>
      <c r="E18">
        <f t="shared" si="3"/>
        <v>1.5826306462542981E-3</v>
      </c>
      <c r="F18" t="s">
        <v>86</v>
      </c>
      <c r="P18">
        <f>E10</f>
        <v>2.3601407012687044E-2</v>
      </c>
      <c r="Q18">
        <v>0.4</v>
      </c>
      <c r="R18">
        <f t="shared" si="4"/>
        <v>2.3601407012687044E-2</v>
      </c>
      <c r="S18">
        <v>5.0000000000000001E-3</v>
      </c>
      <c r="T18">
        <v>-5.0000000000000001E-3</v>
      </c>
      <c r="X18">
        <v>0.4499999999999999</v>
      </c>
      <c r="Y18">
        <f t="shared" si="5"/>
        <v>2.0680680287402678E-2</v>
      </c>
      <c r="Z18">
        <f t="shared" si="6"/>
        <v>1.9098049641148376E-2</v>
      </c>
      <c r="AA18">
        <f>0.5*(Sheet1!J19-Sheet1!J18)*(Sheet1!K19*Sheet1!L19+Sheet1!K18*Sheet1!L18)</f>
        <v>540.59836869433866</v>
      </c>
      <c r="AB18">
        <f>0.5*(Sheet1!M18-Sheet1!M19)*(Sheet1!N18*Sheet1!O18+Sheet1!N19*Sheet1!O19)</f>
        <v>2605.4638765054319</v>
      </c>
      <c r="AC18">
        <f>Y10</f>
        <v>3.1152411607907105E-2</v>
      </c>
      <c r="AD18">
        <f>Z10</f>
        <v>7.5510045952200573E-3</v>
      </c>
      <c r="AE18">
        <f t="shared" ref="AE18:AF18" si="20">AA10</f>
        <v>488.45913842243624</v>
      </c>
      <c r="AF18">
        <f t="shared" si="20"/>
        <v>664.8086143240713</v>
      </c>
      <c r="AG18">
        <f t="shared" si="2"/>
        <v>1153.2677527465075</v>
      </c>
    </row>
    <row r="19" spans="1:33" x14ac:dyDescent="0.25">
      <c r="A19">
        <f>(Sheet1!K19-MIN(Sheet1!K:K))/(MAX(Sheet1!K:K)-MIN(Sheet1!K:K))</f>
        <v>0.84999999999999976</v>
      </c>
      <c r="B19">
        <f>(Sheet1!L19-MIN(MIN(Sheet1!L:L),MIN(Sheet1!O:O)))/(MAX(MAX(Sheet1!L:L),MAX(Sheet1!O:O))-MIN(MIN(Sheet1!L:L),MIN(Sheet1!O:O)))</f>
        <v>0.41161098058928508</v>
      </c>
      <c r="C19">
        <f>(Sheet1!N19-MIN(Sheet1!N:N))/(MAX(Sheet1!N:N)-MIN(Sheet1!N:N))</f>
        <v>0.84999999999999976</v>
      </c>
      <c r="D19">
        <f>(Sheet1!O19-MIN(MIN(Sheet1!L:L),MIN(Sheet1!O:O)))/(MAX(MAX(Sheet1!L:L),MAX(Sheet1!O:O))-MIN(MIN(Sheet1!L:L),MIN(Sheet1!O:O)))</f>
        <v>0.4084784641810576</v>
      </c>
      <c r="E19">
        <f t="shared" si="3"/>
        <v>-6.1019982843225802E-3</v>
      </c>
      <c r="F19" t="s">
        <v>63</v>
      </c>
      <c r="P19">
        <f>E10</f>
        <v>2.3601407012687044E-2</v>
      </c>
      <c r="Q19">
        <v>0.45</v>
      </c>
      <c r="R19">
        <f t="shared" si="4"/>
        <v>2.3601407012687044E-2</v>
      </c>
      <c r="S19">
        <v>5.0000000000000001E-3</v>
      </c>
      <c r="T19">
        <v>-5.0000000000000001E-3</v>
      </c>
      <c r="X19">
        <v>0.4499999999999999</v>
      </c>
      <c r="Y19">
        <f t="shared" si="5"/>
        <v>1.96365545631456E-2</v>
      </c>
      <c r="Z19">
        <f t="shared" si="6"/>
        <v>2.5738552847468191E-2</v>
      </c>
      <c r="AA19">
        <f>0.5*(Sheet1!J20-Sheet1!J19)*(Sheet1!K20*Sheet1!L20+Sheet1!K19*Sheet1!L19)</f>
        <v>833.80629238325696</v>
      </c>
      <c r="AB19">
        <f>0.5*(Sheet1!M19-Sheet1!M20)*(Sheet1!N19*Sheet1!O19+Sheet1!N20*Sheet1!O20)</f>
        <v>11665.366805641508</v>
      </c>
      <c r="AC19">
        <f>Y11</f>
        <v>3.2314262171049234E-2</v>
      </c>
      <c r="AD19">
        <f>Z11</f>
        <v>8.1579215637933335E-3</v>
      </c>
      <c r="AE19">
        <f t="shared" ref="AE19:AF19" si="21">AA11</f>
        <v>584.78622795315187</v>
      </c>
      <c r="AF19">
        <f t="shared" si="21"/>
        <v>706.36193824602765</v>
      </c>
      <c r="AG19">
        <f t="shared" si="2"/>
        <v>1291.1481661991795</v>
      </c>
    </row>
    <row r="20" spans="1:33" x14ac:dyDescent="0.25">
      <c r="A20">
        <f>(Sheet1!K20-MIN(Sheet1!K:K))/(MAX(Sheet1!K:K)-MIN(Sheet1!K:K))</f>
        <v>0.89999999999999969</v>
      </c>
      <c r="B20">
        <f>(Sheet1!L20-MIN(MIN(Sheet1!L:L),MIN(Sheet1!O:O)))/(MAX(MAX(Sheet1!L:L),MAX(Sheet1!O:O))-MIN(MIN(Sheet1!L:L),MIN(Sheet1!O:O)))</f>
        <v>0.37385120193653881</v>
      </c>
      <c r="C20">
        <f>(Sheet1!N20-MIN(Sheet1!N:N))/(MAX(Sheet1!N:N)-MIN(Sheet1!N:N))</f>
        <v>0.89999999999999969</v>
      </c>
      <c r="D20">
        <f>(Sheet1!O20-MIN(MIN(Sheet1!L:L),MIN(Sheet1!O:O)))/(MAX(MAX(Sheet1!L:L),MAX(Sheet1!O:O))-MIN(MIN(Sheet1!L:L),MIN(Sheet1!O:O)))</f>
        <v>0.62106364971766992</v>
      </c>
      <c r="E20">
        <f t="shared" si="3"/>
        <v>-1.8548453526105672E-2</v>
      </c>
      <c r="F20" t="s">
        <v>63</v>
      </c>
      <c r="P20">
        <f>E11</f>
        <v>2.4156340607255897E-2</v>
      </c>
      <c r="Q20">
        <v>0.45</v>
      </c>
      <c r="R20">
        <f t="shared" si="4"/>
        <v>2.4156340607255897E-2</v>
      </c>
      <c r="S20">
        <v>5.0000000000000001E-3</v>
      </c>
      <c r="T20">
        <v>-5.0000000000000001E-3</v>
      </c>
      <c r="X20">
        <v>0.49999999999999989</v>
      </c>
      <c r="Y20">
        <f t="shared" si="5"/>
        <v>1.9471396541100635E-2</v>
      </c>
      <c r="Z20">
        <f t="shared" si="6"/>
        <v>3.8019850067206255E-2</v>
      </c>
      <c r="AA20">
        <f>0.5*(Sheet1!J21-Sheet1!J20)*(Sheet1!K21*Sheet1!L21+Sheet1!K20*Sheet1!L20)</f>
        <v>1058.2870881225144</v>
      </c>
      <c r="AB20">
        <f>0.5*(Sheet1!M20-Sheet1!M21)*(Sheet1!N20*Sheet1!O20+Sheet1!N21*Sheet1!O21)</f>
        <v>13107.343713865868</v>
      </c>
      <c r="AC20">
        <f>Y11</f>
        <v>3.2314262171049234E-2</v>
      </c>
      <c r="AD20">
        <f>Z11</f>
        <v>8.1579215637933335E-3</v>
      </c>
      <c r="AE20">
        <f t="shared" ref="AE20:AF20" si="22">AA11</f>
        <v>584.78622795315187</v>
      </c>
      <c r="AF20">
        <f t="shared" si="22"/>
        <v>706.36193824602765</v>
      </c>
      <c r="AG20">
        <f t="shared" si="2"/>
        <v>1291.1481661991795</v>
      </c>
    </row>
    <row r="21" spans="1:33" x14ac:dyDescent="0.25">
      <c r="A21">
        <f>(Sheet1!K21-MIN(Sheet1!K:K))/(MAX(Sheet1!K:K)-MIN(Sheet1!K:K))</f>
        <v>0.94999999999999984</v>
      </c>
      <c r="B21">
        <f>(Sheet1!L21-MIN(MIN(Sheet1!L:L),MIN(Sheet1!O:O)))/(MAX(MAX(Sheet1!L:L),MAX(Sheet1!O:O))-MIN(MIN(Sheet1!L:L),MIN(Sheet1!O:O)))</f>
        <v>0.40500465970748656</v>
      </c>
      <c r="C21">
        <f>(Sheet1!N21-MIN(Sheet1!N:N))/(MAX(Sheet1!N:N)-MIN(Sheet1!N:N))</f>
        <v>0.94999999999999984</v>
      </c>
      <c r="D21">
        <f>(Sheet1!O21-MIN(MIN(Sheet1!L:L),MIN(Sheet1!O:O)))/(MAX(MAX(Sheet1!L:L),MAX(Sheet1!O:O))-MIN(MIN(Sheet1!L:L),MIN(Sheet1!O:O)))</f>
        <v>0.89973035297058013</v>
      </c>
      <c r="E21">
        <f t="shared" si="3"/>
        <v>-1.2368142331577382E-2</v>
      </c>
      <c r="F21" t="s">
        <v>63</v>
      </c>
      <c r="P21">
        <f>E11</f>
        <v>2.4156340607255897E-2</v>
      </c>
      <c r="Q21">
        <v>0.5</v>
      </c>
      <c r="R21">
        <f t="shared" si="4"/>
        <v>2.4156340607255897E-2</v>
      </c>
      <c r="S21">
        <v>5.0000000000000001E-3</v>
      </c>
      <c r="T21">
        <v>-5.0000000000000001E-3</v>
      </c>
      <c r="X21">
        <v>0.49999999999999989</v>
      </c>
      <c r="Y21">
        <f t="shared" ref="Y21" si="23">0.5*0.05*(B21+B22)</f>
        <v>3.5125116492687167E-2</v>
      </c>
      <c r="Z21">
        <f t="shared" ref="Z21" si="24">0.5*0.05*(D21+D22)</f>
        <v>4.7493258824264507E-2</v>
      </c>
      <c r="AA21">
        <f>0.5*(Sheet1!J22-Sheet1!J21)*(Sheet1!K22*Sheet1!L22+Sheet1!K21*Sheet1!L21)</f>
        <v>2662.7843114840944</v>
      </c>
      <c r="AB21">
        <f>0.5*(Sheet1!M21-Sheet1!M22)*(Sheet1!N21*Sheet1!O21+Sheet1!N22*Sheet1!O22)</f>
        <v>6044.2631030761204</v>
      </c>
      <c r="AC21">
        <f>Y12</f>
        <v>3.3252177758562852E-2</v>
      </c>
      <c r="AD21">
        <f>Z12</f>
        <v>8.9420597983252501E-3</v>
      </c>
      <c r="AE21">
        <f t="shared" ref="AE21:AF21" si="25">AA12</f>
        <v>689.67604612355808</v>
      </c>
      <c r="AF21">
        <f t="shared" si="25"/>
        <v>894.51144329280612</v>
      </c>
      <c r="AG21">
        <f t="shared" si="2"/>
        <v>1584.1874894163643</v>
      </c>
    </row>
    <row r="22" spans="1:33" x14ac:dyDescent="0.25">
      <c r="A22">
        <f>(Sheet1!K22-MIN(Sheet1!K:K))/(MAX(Sheet1!K:K)-MIN(Sheet1!K:K))</f>
        <v>1</v>
      </c>
      <c r="B22">
        <f>(Sheet1!L22-MIN(MIN(Sheet1!L:L),MIN(Sheet1!O:O)))/(MAX(MAX(Sheet1!L:L),MAX(Sheet1!O:O))-MIN(MIN(Sheet1!L:L),MIN(Sheet1!O:O)))</f>
        <v>1</v>
      </c>
      <c r="C22">
        <f>(Sheet1!N22-MIN(Sheet1!N:N))/(MAX(Sheet1!N:N)-MIN(Sheet1!N:N))</f>
        <v>1</v>
      </c>
      <c r="D22">
        <f>(Sheet1!O22-MIN(MIN(Sheet1!L:L),MIN(Sheet1!O:O)))/(MAX(MAX(Sheet1!L:L),MAX(Sheet1!O:O))-MIN(MIN(Sheet1!L:L),MIN(Sheet1!O:O)))</f>
        <v>1</v>
      </c>
      <c r="E22">
        <v>0</v>
      </c>
      <c r="P22">
        <f>E12</f>
        <v>2.4310117960237566E-2</v>
      </c>
      <c r="Q22">
        <v>0.5</v>
      </c>
      <c r="R22">
        <f t="shared" si="4"/>
        <v>2.4310117960237566E-2</v>
      </c>
      <c r="S22">
        <v>5.0000000000000001E-3</v>
      </c>
      <c r="T22">
        <v>-5.0000000000000001E-3</v>
      </c>
      <c r="X22">
        <v>0.54999999999999982</v>
      </c>
      <c r="AC22">
        <f>Y12</f>
        <v>3.3252177758562852E-2</v>
      </c>
      <c r="AD22">
        <f>Z12</f>
        <v>8.9420597983252501E-3</v>
      </c>
      <c r="AE22">
        <f t="shared" ref="AE22:AF22" si="26">AA12</f>
        <v>689.67604612355808</v>
      </c>
      <c r="AF22">
        <f t="shared" si="26"/>
        <v>894.51144329280612</v>
      </c>
      <c r="AG22">
        <f t="shared" si="2"/>
        <v>1584.1874894163643</v>
      </c>
    </row>
    <row r="23" spans="1:33" x14ac:dyDescent="0.25">
      <c r="P23">
        <f>E12</f>
        <v>2.4310117960237566E-2</v>
      </c>
      <c r="Q23">
        <v>0.55000000000000004</v>
      </c>
      <c r="R23">
        <f t="shared" si="4"/>
        <v>2.4310117960237566E-2</v>
      </c>
      <c r="S23">
        <v>5.0000000000000001E-3</v>
      </c>
      <c r="T23">
        <v>-5.0000000000000001E-3</v>
      </c>
      <c r="X23">
        <v>0.54999999999999982</v>
      </c>
      <c r="AC23">
        <f>Y13</f>
        <v>3.4373190503059071E-2</v>
      </c>
      <c r="AD23">
        <f>Z13</f>
        <v>1.0136287544729759E-2</v>
      </c>
      <c r="AE23">
        <f t="shared" ref="AE23:AF23" si="27">AA13</f>
        <v>1032.2143492220898</v>
      </c>
      <c r="AF23">
        <f t="shared" si="27"/>
        <v>1110.1107295046991</v>
      </c>
      <c r="AG23">
        <f t="shared" si="2"/>
        <v>2142.3250787267889</v>
      </c>
    </row>
    <row r="24" spans="1:33" x14ac:dyDescent="0.25">
      <c r="P24">
        <f>E13</f>
        <v>2.423690295832933E-2</v>
      </c>
      <c r="Q24">
        <v>0.55000000000000004</v>
      </c>
      <c r="R24">
        <f t="shared" si="4"/>
        <v>2.423690295832933E-2</v>
      </c>
      <c r="S24">
        <v>5.0000000000000001E-3</v>
      </c>
      <c r="T24">
        <v>-5.0000000000000001E-3</v>
      </c>
      <c r="X24">
        <v>0.59999999999999987</v>
      </c>
      <c r="AC24">
        <f>Y13</f>
        <v>3.4373190503059071E-2</v>
      </c>
      <c r="AD24">
        <f>Z13</f>
        <v>1.0136287544729759E-2</v>
      </c>
      <c r="AE24">
        <f t="shared" ref="AE24:AF24" si="28">AA13</f>
        <v>1032.2143492220898</v>
      </c>
      <c r="AF24">
        <f t="shared" si="28"/>
        <v>1110.1107295046991</v>
      </c>
      <c r="AG24">
        <f t="shared" si="2"/>
        <v>2142.3250787267889</v>
      </c>
    </row>
    <row r="25" spans="1:33" x14ac:dyDescent="0.25">
      <c r="P25">
        <f>E13</f>
        <v>2.423690295832933E-2</v>
      </c>
      <c r="Q25">
        <v>0.6</v>
      </c>
      <c r="R25">
        <f t="shared" si="4"/>
        <v>2.423690295832933E-2</v>
      </c>
      <c r="S25">
        <v>5.0000000000000001E-3</v>
      </c>
      <c r="T25">
        <v>-5.0000000000000001E-3</v>
      </c>
      <c r="X25">
        <v>0.59999999999999987</v>
      </c>
      <c r="AC25">
        <f>Y14</f>
        <v>3.4723088307305271E-2</v>
      </c>
      <c r="AD25">
        <f>Z14</f>
        <v>1.1742331447921051E-2</v>
      </c>
      <c r="AE25">
        <f t="shared" ref="AE25:AF25" si="29">AA14</f>
        <v>1651.3932643075218</v>
      </c>
      <c r="AF25">
        <f t="shared" si="29"/>
        <v>1392.7172379530882</v>
      </c>
      <c r="AG25">
        <f t="shared" si="2"/>
        <v>3044.1105022606098</v>
      </c>
    </row>
    <row r="26" spans="1:33" x14ac:dyDescent="0.25">
      <c r="P26">
        <f>E14</f>
        <v>2.2980756859384194E-2</v>
      </c>
      <c r="Q26">
        <v>0.6</v>
      </c>
      <c r="R26">
        <f t="shared" si="4"/>
        <v>2.2980756859384194E-2</v>
      </c>
      <c r="S26">
        <v>5.0000000000000001E-3</v>
      </c>
      <c r="T26">
        <v>-5.0000000000000001E-3</v>
      </c>
      <c r="X26">
        <v>0.6499999999999998</v>
      </c>
      <c r="AC26">
        <f>Y14</f>
        <v>3.4723088307305271E-2</v>
      </c>
      <c r="AD26">
        <f>Z14</f>
        <v>1.1742331447921051E-2</v>
      </c>
      <c r="AE26">
        <f t="shared" ref="AE26:AF26" si="30">AA14</f>
        <v>1651.3932643075218</v>
      </c>
      <c r="AF26">
        <f t="shared" si="30"/>
        <v>1392.7172379530882</v>
      </c>
      <c r="AG26">
        <f t="shared" si="2"/>
        <v>3044.1105022606098</v>
      </c>
    </row>
    <row r="27" spans="1:33" x14ac:dyDescent="0.25">
      <c r="P27">
        <f>E14</f>
        <v>2.2980756859384194E-2</v>
      </c>
      <c r="Q27">
        <v>0.65</v>
      </c>
      <c r="R27">
        <f t="shared" si="4"/>
        <v>2.2980756859384194E-2</v>
      </c>
      <c r="S27">
        <v>5.0000000000000001E-3</v>
      </c>
      <c r="T27">
        <v>-5.0000000000000001E-3</v>
      </c>
      <c r="X27">
        <v>0.6499999999999998</v>
      </c>
      <c r="AC27">
        <f>Y15</f>
        <v>2.8007073430083199E-2</v>
      </c>
      <c r="AD27">
        <f>Z15</f>
        <v>1.3487719817751249E-2</v>
      </c>
      <c r="AE27">
        <f t="shared" ref="AE27:AF27" si="31">AA15</f>
        <v>16169.137991752516</v>
      </c>
      <c r="AF27">
        <f t="shared" si="31"/>
        <v>1689.6241754367773</v>
      </c>
      <c r="AG27">
        <f t="shared" si="2"/>
        <v>17858.762167189292</v>
      </c>
    </row>
    <row r="28" spans="1:33" x14ac:dyDescent="0.25">
      <c r="P28">
        <f>E15</f>
        <v>1.451935361233196E-2</v>
      </c>
      <c r="Q28">
        <v>0.65</v>
      </c>
      <c r="R28">
        <f t="shared" si="4"/>
        <v>1.451935361233196E-2</v>
      </c>
      <c r="S28">
        <v>5.0000000000000001E-3</v>
      </c>
      <c r="T28">
        <v>-5.0000000000000001E-3</v>
      </c>
      <c r="X28">
        <v>0.69999999999999984</v>
      </c>
      <c r="AC28">
        <f>Y15</f>
        <v>2.8007073430083199E-2</v>
      </c>
      <c r="AD28">
        <f>Z15</f>
        <v>1.3487719817751249E-2</v>
      </c>
      <c r="AE28">
        <f t="shared" ref="AE28:AF28" si="32">AA15</f>
        <v>16169.137991752516</v>
      </c>
      <c r="AF28">
        <f t="shared" si="32"/>
        <v>1689.6241754367773</v>
      </c>
      <c r="AG28">
        <f t="shared" si="2"/>
        <v>17858.762167189292</v>
      </c>
    </row>
    <row r="29" spans="1:33" x14ac:dyDescent="0.25">
      <c r="P29">
        <f>E15</f>
        <v>1.451935361233196E-2</v>
      </c>
      <c r="Q29">
        <v>0.7</v>
      </c>
      <c r="R29">
        <f t="shared" si="4"/>
        <v>1.451935361233196E-2</v>
      </c>
      <c r="S29">
        <v>5.0000000000000001E-3</v>
      </c>
      <c r="T29">
        <v>-5.0000000000000001E-3</v>
      </c>
      <c r="X29">
        <v>0.69999999999999984</v>
      </c>
      <c r="AC29">
        <f>Y16</f>
        <v>2.1281537431457484E-2</v>
      </c>
      <c r="AD29">
        <f>Z16</f>
        <v>1.5193077225620395E-2</v>
      </c>
      <c r="AE29">
        <f t="shared" ref="AE29:AF29" si="33">AA16</f>
        <v>1421.5201963758007</v>
      </c>
      <c r="AF29">
        <f t="shared" si="33"/>
        <v>1521.5337625164436</v>
      </c>
      <c r="AG29">
        <f t="shared" si="2"/>
        <v>2943.0539588922443</v>
      </c>
    </row>
    <row r="30" spans="1:33" x14ac:dyDescent="0.25">
      <c r="P30">
        <f>E16</f>
        <v>6.0884602058370787E-3</v>
      </c>
      <c r="Q30">
        <v>0.7</v>
      </c>
      <c r="R30">
        <f t="shared" si="4"/>
        <v>6.0884602058370787E-3</v>
      </c>
      <c r="S30">
        <v>5.0000000000000001E-3</v>
      </c>
      <c r="T30">
        <v>-5.0000000000000001E-3</v>
      </c>
      <c r="X30">
        <v>0.74999999999999978</v>
      </c>
      <c r="AC30">
        <f>Y16</f>
        <v>2.1281537431457484E-2</v>
      </c>
      <c r="AD30">
        <f>Z16</f>
        <v>1.5193077225620395E-2</v>
      </c>
      <c r="AE30">
        <f t="shared" ref="AE30:AF30" si="34">AA16</f>
        <v>1421.5201963758007</v>
      </c>
      <c r="AF30">
        <f t="shared" si="34"/>
        <v>1521.5337625164436</v>
      </c>
      <c r="AG30">
        <f t="shared" si="2"/>
        <v>2943.0539588922443</v>
      </c>
    </row>
    <row r="31" spans="1:33" x14ac:dyDescent="0.25">
      <c r="P31">
        <f>E16</f>
        <v>6.0884602058370787E-3</v>
      </c>
      <c r="Q31">
        <v>0.75</v>
      </c>
      <c r="R31">
        <f t="shared" si="4"/>
        <v>6.0884602058370787E-3</v>
      </c>
      <c r="S31">
        <v>5.0000000000000001E-3</v>
      </c>
      <c r="T31">
        <v>-5.0000000000000001E-3</v>
      </c>
      <c r="X31">
        <v>0.74999999999999978</v>
      </c>
      <c r="AC31">
        <f>Y17</f>
        <v>2.0880942803279515E-2</v>
      </c>
      <c r="AD31">
        <f>Z17</f>
        <v>1.687021179528508E-2</v>
      </c>
      <c r="AE31">
        <f t="shared" ref="AE31:AF31" si="35">AA17</f>
        <v>515.11469185567989</v>
      </c>
      <c r="AF31">
        <f t="shared" si="35"/>
        <v>2104.8021262087759</v>
      </c>
      <c r="AG31">
        <f t="shared" si="2"/>
        <v>2619.9168180644556</v>
      </c>
    </row>
    <row r="32" spans="1:33" x14ac:dyDescent="0.25">
      <c r="P32">
        <f>E17</f>
        <v>4.0107310079944315E-3</v>
      </c>
      <c r="Q32">
        <v>0.75</v>
      </c>
      <c r="R32">
        <f t="shared" si="4"/>
        <v>4.0107310079944315E-3</v>
      </c>
      <c r="S32">
        <v>5.0000000000000001E-3</v>
      </c>
      <c r="T32">
        <v>-5.0000000000000001E-3</v>
      </c>
      <c r="X32">
        <v>0.79999999999999971</v>
      </c>
      <c r="AC32">
        <f>Y17</f>
        <v>2.0880942803279515E-2</v>
      </c>
      <c r="AD32">
        <f>Z17</f>
        <v>1.687021179528508E-2</v>
      </c>
      <c r="AE32">
        <f t="shared" ref="AE32:AF32" si="36">AA17</f>
        <v>515.11469185567989</v>
      </c>
      <c r="AF32">
        <f t="shared" si="36"/>
        <v>2104.8021262087759</v>
      </c>
      <c r="AG32">
        <f t="shared" si="2"/>
        <v>2619.9168180644556</v>
      </c>
    </row>
    <row r="33" spans="16:33" x14ac:dyDescent="0.25">
      <c r="P33">
        <f>E17</f>
        <v>4.0107310079944315E-3</v>
      </c>
      <c r="Q33">
        <v>0.8</v>
      </c>
      <c r="R33">
        <f t="shared" si="4"/>
        <v>4.0107310079944315E-3</v>
      </c>
      <c r="S33">
        <v>5.0000000000000001E-3</v>
      </c>
      <c r="T33">
        <v>-5.0000000000000001E-3</v>
      </c>
      <c r="X33">
        <v>0.79999999999999971</v>
      </c>
      <c r="AC33">
        <f>Y18</f>
        <v>2.0680680287402678E-2</v>
      </c>
      <c r="AD33">
        <f>Z18</f>
        <v>1.9098049641148376E-2</v>
      </c>
      <c r="AE33">
        <f t="shared" ref="AE33:AF33" si="37">AA18</f>
        <v>540.59836869433866</v>
      </c>
      <c r="AF33">
        <f t="shared" si="37"/>
        <v>2605.4638765054319</v>
      </c>
      <c r="AG33">
        <f t="shared" si="2"/>
        <v>3146.0622451997706</v>
      </c>
    </row>
    <row r="34" spans="16:33" x14ac:dyDescent="0.25">
      <c r="P34">
        <f>E18</f>
        <v>1.5826306462542981E-3</v>
      </c>
      <c r="Q34">
        <v>0.8</v>
      </c>
      <c r="R34">
        <f t="shared" si="4"/>
        <v>1.5826306462542981E-3</v>
      </c>
      <c r="S34">
        <v>5.0000000000000001E-3</v>
      </c>
      <c r="T34">
        <v>-5.0000000000000001E-3</v>
      </c>
      <c r="X34">
        <v>0.84999999999999976</v>
      </c>
      <c r="AC34">
        <f>Y18</f>
        <v>2.0680680287402678E-2</v>
      </c>
      <c r="AD34">
        <f>Z18</f>
        <v>1.9098049641148376E-2</v>
      </c>
      <c r="AE34">
        <f t="shared" ref="AE34:AF34" si="38">AA18</f>
        <v>540.59836869433866</v>
      </c>
      <c r="AF34">
        <f t="shared" si="38"/>
        <v>2605.4638765054319</v>
      </c>
      <c r="AG34">
        <f t="shared" si="2"/>
        <v>3146.0622451997706</v>
      </c>
    </row>
    <row r="35" spans="16:33" x14ac:dyDescent="0.25">
      <c r="P35">
        <f>E18</f>
        <v>1.5826306462542981E-3</v>
      </c>
      <c r="Q35">
        <v>0.85</v>
      </c>
      <c r="R35">
        <f t="shared" si="4"/>
        <v>1.5826306462542981E-3</v>
      </c>
      <c r="S35">
        <v>5.0000000000000001E-3</v>
      </c>
      <c r="T35">
        <v>-5.0000000000000001E-3</v>
      </c>
      <c r="X35">
        <v>0.84999999999999976</v>
      </c>
      <c r="AC35">
        <f>Y19</f>
        <v>1.96365545631456E-2</v>
      </c>
      <c r="AD35">
        <f>Z19</f>
        <v>2.5738552847468191E-2</v>
      </c>
      <c r="AE35">
        <f t="shared" ref="AE35:AF35" si="39">AA19</f>
        <v>833.80629238325696</v>
      </c>
      <c r="AF35">
        <f t="shared" si="39"/>
        <v>11665.366805641508</v>
      </c>
      <c r="AG35">
        <f t="shared" si="2"/>
        <v>12499.173098024765</v>
      </c>
    </row>
    <row r="36" spans="16:33" x14ac:dyDescent="0.25">
      <c r="P36">
        <f>E19</f>
        <v>-6.1019982843225802E-3</v>
      </c>
      <c r="Q36">
        <v>0.85</v>
      </c>
      <c r="R36">
        <f t="shared" si="4"/>
        <v>-6.1019982843225802E-3</v>
      </c>
      <c r="S36">
        <v>5.0000000000000001E-3</v>
      </c>
      <c r="T36">
        <v>-5.0000000000000001E-3</v>
      </c>
      <c r="X36">
        <v>0.89999999999999969</v>
      </c>
      <c r="AC36">
        <f>Y19</f>
        <v>1.96365545631456E-2</v>
      </c>
      <c r="AD36">
        <f>Z19</f>
        <v>2.5738552847468191E-2</v>
      </c>
      <c r="AE36">
        <f t="shared" ref="AE36:AF36" si="40">AA19</f>
        <v>833.80629238325696</v>
      </c>
      <c r="AF36">
        <f t="shared" si="40"/>
        <v>11665.366805641508</v>
      </c>
      <c r="AG36">
        <f t="shared" si="2"/>
        <v>12499.173098024765</v>
      </c>
    </row>
    <row r="37" spans="16:33" x14ac:dyDescent="0.25">
      <c r="P37">
        <f>E19</f>
        <v>-6.1019982843225802E-3</v>
      </c>
      <c r="Q37">
        <v>0.9</v>
      </c>
      <c r="R37">
        <f t="shared" si="4"/>
        <v>-6.1019982843225802E-3</v>
      </c>
      <c r="S37">
        <v>5.0000000000000001E-3</v>
      </c>
      <c r="T37">
        <v>-5.0000000000000001E-3</v>
      </c>
      <c r="X37">
        <v>0.89999999999999969</v>
      </c>
      <c r="AC37">
        <f>Y20</f>
        <v>1.9471396541100635E-2</v>
      </c>
      <c r="AD37">
        <f>Z20</f>
        <v>3.8019850067206255E-2</v>
      </c>
      <c r="AE37">
        <f t="shared" ref="AE37:AF37" si="41">AA20</f>
        <v>1058.2870881225144</v>
      </c>
      <c r="AF37">
        <f t="shared" si="41"/>
        <v>13107.343713865868</v>
      </c>
      <c r="AG37">
        <f t="shared" si="2"/>
        <v>14165.630801988384</v>
      </c>
    </row>
    <row r="38" spans="16:33" x14ac:dyDescent="0.25">
      <c r="P38">
        <f>E20</f>
        <v>-1.8548453526105672E-2</v>
      </c>
      <c r="Q38">
        <v>0.9</v>
      </c>
      <c r="R38">
        <f t="shared" si="4"/>
        <v>-1.8548453526105672E-2</v>
      </c>
      <c r="S38">
        <v>5.0000000000000001E-3</v>
      </c>
      <c r="T38">
        <v>-5.0000000000000001E-3</v>
      </c>
      <c r="X38">
        <v>0.94999999999999984</v>
      </c>
      <c r="AC38">
        <f>Y20</f>
        <v>1.9471396541100635E-2</v>
      </c>
      <c r="AD38">
        <f>Z20</f>
        <v>3.8019850067206255E-2</v>
      </c>
      <c r="AE38">
        <f t="shared" ref="AE38:AF38" si="42">AA20</f>
        <v>1058.2870881225144</v>
      </c>
      <c r="AF38">
        <f t="shared" si="42"/>
        <v>13107.343713865868</v>
      </c>
      <c r="AG38">
        <f t="shared" si="2"/>
        <v>14165.630801988384</v>
      </c>
    </row>
    <row r="39" spans="16:33" x14ac:dyDescent="0.25">
      <c r="P39">
        <f>E20</f>
        <v>-1.8548453526105672E-2</v>
      </c>
      <c r="Q39">
        <v>0.95</v>
      </c>
      <c r="R39">
        <f t="shared" si="4"/>
        <v>-1.8548453526105672E-2</v>
      </c>
      <c r="S39">
        <v>5.0000000000000001E-3</v>
      </c>
      <c r="T39">
        <v>-5.0000000000000001E-3</v>
      </c>
      <c r="X39">
        <v>0.94999999999999984</v>
      </c>
      <c r="AC39">
        <f>Y21</f>
        <v>3.5125116492687167E-2</v>
      </c>
      <c r="AD39">
        <f>Z21</f>
        <v>4.7493258824264507E-2</v>
      </c>
      <c r="AE39">
        <f t="shared" ref="AE39:AF39" si="43">AA21</f>
        <v>2662.7843114840944</v>
      </c>
      <c r="AF39">
        <f t="shared" si="43"/>
        <v>6044.2631030761204</v>
      </c>
      <c r="AG39">
        <f t="shared" si="2"/>
        <v>8707.0474145602147</v>
      </c>
    </row>
    <row r="40" spans="16:33" x14ac:dyDescent="0.25">
      <c r="P40">
        <f>E21</f>
        <v>-1.2368142331577382E-2</v>
      </c>
      <c r="Q40">
        <v>0.95</v>
      </c>
      <c r="R40">
        <f t="shared" si="4"/>
        <v>-1.2368142331577382E-2</v>
      </c>
      <c r="S40">
        <v>5.0000000000000001E-3</v>
      </c>
      <c r="T40">
        <v>-5.0000000000000001E-3</v>
      </c>
      <c r="X40">
        <v>1</v>
      </c>
      <c r="AC40">
        <f>Y21</f>
        <v>3.5125116492687167E-2</v>
      </c>
      <c r="AD40">
        <f>Z21</f>
        <v>4.7493258824264507E-2</v>
      </c>
      <c r="AE40">
        <f t="shared" ref="AE40:AF40" si="44">AA21</f>
        <v>2662.7843114840944</v>
      </c>
      <c r="AF40">
        <f t="shared" si="44"/>
        <v>6044.2631030761204</v>
      </c>
      <c r="AG40">
        <f t="shared" si="2"/>
        <v>8707.0474145602147</v>
      </c>
    </row>
    <row r="41" spans="16:33" x14ac:dyDescent="0.25">
      <c r="P41">
        <f>E21</f>
        <v>-1.2368142331577382E-2</v>
      </c>
      <c r="Q41">
        <v>1</v>
      </c>
      <c r="R41">
        <f t="shared" si="4"/>
        <v>-1.2368142331577382E-2</v>
      </c>
      <c r="S41">
        <v>5.0000000000000001E-3</v>
      </c>
      <c r="T41">
        <v>-5.0000000000000001E-3</v>
      </c>
    </row>
  </sheetData>
  <sortState ref="AB1:AB41">
    <sortCondition ref="AB41"/>
  </sortState>
  <phoneticPr fontId="4" type="noConversion"/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390AB-374D-4F4C-8E32-BDB87BE7CD45}">
  <sheetPr codeName="Sheet5"/>
  <dimension ref="A1:I156"/>
  <sheetViews>
    <sheetView zoomScaleNormal="100" workbookViewId="0">
      <selection sqref="A1:C1"/>
    </sheetView>
  </sheetViews>
  <sheetFormatPr defaultRowHeight="15" x14ac:dyDescent="0.25"/>
  <sheetData>
    <row r="1" spans="1:9" x14ac:dyDescent="0.25">
      <c r="A1" s="23">
        <v>1</v>
      </c>
      <c r="B1" s="23"/>
      <c r="C1" s="23"/>
      <c r="D1" s="23">
        <v>2</v>
      </c>
      <c r="E1" s="23"/>
      <c r="F1" s="23"/>
      <c r="G1" s="23">
        <v>3</v>
      </c>
      <c r="H1" s="23"/>
      <c r="I1" s="23"/>
    </row>
    <row r="2" spans="1:9" x14ac:dyDescent="0.25">
      <c r="A2" s="20" t="s">
        <v>0</v>
      </c>
      <c r="B2" s="8" t="s">
        <v>1</v>
      </c>
      <c r="C2" s="8" t="s">
        <v>2</v>
      </c>
      <c r="D2" s="20" t="s">
        <v>0</v>
      </c>
      <c r="E2" s="8" t="s">
        <v>1</v>
      </c>
      <c r="F2" s="8" t="s">
        <v>2</v>
      </c>
      <c r="G2" s="20" t="s">
        <v>0</v>
      </c>
      <c r="H2" s="8" t="s">
        <v>1</v>
      </c>
      <c r="I2" s="8" t="s">
        <v>2</v>
      </c>
    </row>
    <row r="3" spans="1:9" x14ac:dyDescent="0.25">
      <c r="D3" s="17"/>
    </row>
    <row r="46" spans="4:9" x14ac:dyDescent="0.25">
      <c r="D46">
        <v>40890.260416666664</v>
      </c>
      <c r="E46">
        <v>5.1536660797440002</v>
      </c>
      <c r="F46">
        <v>694</v>
      </c>
      <c r="G46">
        <v>40970.875</v>
      </c>
      <c r="H46">
        <v>20.529713779199998</v>
      </c>
      <c r="I46">
        <v>3270</v>
      </c>
    </row>
    <row r="47" spans="4:9" x14ac:dyDescent="0.25">
      <c r="D47">
        <v>40890.263888888891</v>
      </c>
      <c r="E47">
        <v>5.2386166195200001</v>
      </c>
      <c r="F47">
        <v>667</v>
      </c>
      <c r="G47">
        <v>40970.878472222219</v>
      </c>
      <c r="H47">
        <v>20.954466478080001</v>
      </c>
      <c r="I47">
        <v>3150</v>
      </c>
    </row>
    <row r="48" spans="4:9" x14ac:dyDescent="0.25">
      <c r="D48">
        <v>40890.267361111109</v>
      </c>
      <c r="E48">
        <v>5.0687155399680002</v>
      </c>
      <c r="F48">
        <v>639</v>
      </c>
      <c r="G48">
        <v>40970.881944444445</v>
      </c>
      <c r="H48">
        <v>20.642981165568003</v>
      </c>
      <c r="I48">
        <v>3030</v>
      </c>
    </row>
    <row r="49" spans="4:9" x14ac:dyDescent="0.25">
      <c r="D49">
        <v>40890.270833333336</v>
      </c>
      <c r="E49">
        <v>4.9554481535999999</v>
      </c>
      <c r="F49">
        <v>612</v>
      </c>
      <c r="G49">
        <v>40970.885416666664</v>
      </c>
      <c r="H49">
        <v>20.756248551936</v>
      </c>
      <c r="I49">
        <v>2910</v>
      </c>
    </row>
    <row r="50" spans="4:9" x14ac:dyDescent="0.25">
      <c r="D50">
        <v>40890.274305555555</v>
      </c>
      <c r="E50">
        <v>4.8704976138239999</v>
      </c>
      <c r="F50">
        <v>585</v>
      </c>
      <c r="G50">
        <v>40970.888888888891</v>
      </c>
      <c r="H50">
        <v>20.218228466688</v>
      </c>
      <c r="I50">
        <v>2790</v>
      </c>
    </row>
    <row r="51" spans="4:9" x14ac:dyDescent="0.25">
      <c r="D51">
        <v>40890.277777777781</v>
      </c>
      <c r="E51">
        <v>4.7289133808640003</v>
      </c>
      <c r="F51">
        <v>558</v>
      </c>
      <c r="G51">
        <v>40970.892361111109</v>
      </c>
      <c r="H51">
        <v>20.104961080320003</v>
      </c>
      <c r="I51">
        <v>2670</v>
      </c>
    </row>
    <row r="52" spans="4:9" x14ac:dyDescent="0.25">
      <c r="D52">
        <v>40890.28125</v>
      </c>
      <c r="E52">
        <v>4.7855470740480008</v>
      </c>
      <c r="F52">
        <v>531</v>
      </c>
      <c r="G52">
        <v>40970.895833333336</v>
      </c>
      <c r="H52">
        <v>19.340406222336</v>
      </c>
      <c r="I52">
        <v>2550</v>
      </c>
    </row>
    <row r="53" spans="4:9" x14ac:dyDescent="0.25">
      <c r="D53">
        <v>40890.284722222219</v>
      </c>
      <c r="E53">
        <v>4.700596534272</v>
      </c>
      <c r="F53">
        <v>504</v>
      </c>
      <c r="G53">
        <v>40970.899305555555</v>
      </c>
      <c r="H53">
        <v>19.566940995071999</v>
      </c>
      <c r="I53">
        <v>2440</v>
      </c>
    </row>
    <row r="54" spans="4:9" x14ac:dyDescent="0.25">
      <c r="D54">
        <v>40890.288194444445</v>
      </c>
      <c r="E54">
        <v>4.5590123013120003</v>
      </c>
      <c r="F54">
        <v>477</v>
      </c>
      <c r="G54">
        <v>40970.902777777781</v>
      </c>
      <c r="H54">
        <v>19.000604063232</v>
      </c>
      <c r="I54">
        <v>2320</v>
      </c>
    </row>
    <row r="55" spans="4:9" x14ac:dyDescent="0.25">
      <c r="D55">
        <v>40890.291666666664</v>
      </c>
      <c r="E55">
        <v>4.53069545472</v>
      </c>
      <c r="F55">
        <v>449</v>
      </c>
      <c r="G55">
        <v>40970.90625</v>
      </c>
      <c r="H55">
        <v>19.878426307584</v>
      </c>
      <c r="I55">
        <v>2200</v>
      </c>
    </row>
    <row r="56" spans="4:9" x14ac:dyDescent="0.25">
      <c r="D56">
        <v>40890.295138888891</v>
      </c>
      <c r="E56">
        <v>4.5023786081280006</v>
      </c>
      <c r="F56">
        <v>444</v>
      </c>
      <c r="G56">
        <v>40970.909722222219</v>
      </c>
      <c r="H56">
        <v>19.991693693952001</v>
      </c>
      <c r="I56">
        <v>2080</v>
      </c>
    </row>
    <row r="57" spans="4:9" x14ac:dyDescent="0.25">
      <c r="D57">
        <v>40890.298611111109</v>
      </c>
      <c r="E57">
        <v>4.3607943751680001</v>
      </c>
      <c r="F57">
        <v>438</v>
      </c>
      <c r="G57">
        <v>40970.913194444445</v>
      </c>
      <c r="H57">
        <v>18.802386137088</v>
      </c>
      <c r="I57">
        <v>1960</v>
      </c>
    </row>
    <row r="58" spans="4:9" x14ac:dyDescent="0.25">
      <c r="D58">
        <v>40890.302083333336</v>
      </c>
      <c r="E58">
        <v>4.2192101422080004</v>
      </c>
      <c r="F58">
        <v>432</v>
      </c>
      <c r="G58">
        <v>40970.916666666664</v>
      </c>
      <c r="H58">
        <v>18.151098665471999</v>
      </c>
      <c r="I58">
        <v>1840</v>
      </c>
    </row>
    <row r="59" spans="4:9" x14ac:dyDescent="0.25">
      <c r="D59">
        <v>40890.305555555555</v>
      </c>
      <c r="E59">
        <v>4.2192101422080004</v>
      </c>
      <c r="F59">
        <v>427</v>
      </c>
      <c r="G59">
        <v>40970.920138888891</v>
      </c>
      <c r="H59">
        <v>18.037831279104001</v>
      </c>
      <c r="I59">
        <v>1720</v>
      </c>
    </row>
    <row r="60" spans="4:9" x14ac:dyDescent="0.25">
      <c r="D60">
        <v>40890.309027777781</v>
      </c>
      <c r="E60">
        <v>4.1342596024320004</v>
      </c>
      <c r="F60">
        <v>421</v>
      </c>
      <c r="G60">
        <v>40970.923611111109</v>
      </c>
      <c r="H60">
        <v>17.499811193856001</v>
      </c>
      <c r="I60">
        <v>1600</v>
      </c>
    </row>
    <row r="61" spans="4:9" x14ac:dyDescent="0.25">
      <c r="D61">
        <v>40890.3125</v>
      </c>
      <c r="E61">
        <v>4.0209922160640001</v>
      </c>
      <c r="F61">
        <v>415</v>
      </c>
      <c r="G61">
        <v>40970.927083333336</v>
      </c>
      <c r="H61">
        <v>16.225553097216</v>
      </c>
      <c r="I61">
        <v>1480</v>
      </c>
    </row>
    <row r="62" spans="4:9" x14ac:dyDescent="0.25">
      <c r="D62">
        <v>40890.315972222219</v>
      </c>
      <c r="E62">
        <v>4.0209922160640001</v>
      </c>
      <c r="F62">
        <v>410</v>
      </c>
      <c r="G62">
        <v>40970.930555555555</v>
      </c>
      <c r="H62">
        <v>13.903571676672</v>
      </c>
      <c r="I62">
        <v>1360</v>
      </c>
    </row>
    <row r="63" spans="4:9" x14ac:dyDescent="0.25">
      <c r="D63">
        <v>40890.319444444445</v>
      </c>
      <c r="E63">
        <v>3.9643585228800005</v>
      </c>
      <c r="F63">
        <v>404</v>
      </c>
      <c r="G63">
        <v>40970.934027777781</v>
      </c>
      <c r="H63">
        <v>11.836441875456002</v>
      </c>
      <c r="I63">
        <v>1240</v>
      </c>
    </row>
    <row r="64" spans="4:9" x14ac:dyDescent="0.25">
      <c r="D64">
        <v>40890.322916666664</v>
      </c>
      <c r="E64">
        <v>3.9360416762880002</v>
      </c>
      <c r="F64">
        <v>398</v>
      </c>
      <c r="G64">
        <v>40970.9375</v>
      </c>
      <c r="H64">
        <v>11.638223949312</v>
      </c>
      <c r="I64">
        <v>1260</v>
      </c>
    </row>
    <row r="65" spans="4:9" x14ac:dyDescent="0.25">
      <c r="D65">
        <v>40890.326388888891</v>
      </c>
      <c r="E65">
        <v>3.9360416762880002</v>
      </c>
      <c r="F65">
        <v>393</v>
      </c>
      <c r="G65">
        <v>40970.940972222219</v>
      </c>
      <c r="H65">
        <v>9.7409952276479999</v>
      </c>
      <c r="I65">
        <v>1290</v>
      </c>
    </row>
    <row r="66" spans="4:9" x14ac:dyDescent="0.25">
      <c r="D66">
        <v>40890.329861111109</v>
      </c>
      <c r="E66">
        <v>3.9360416762880002</v>
      </c>
      <c r="F66">
        <v>387</v>
      </c>
      <c r="G66">
        <v>40970.944444444445</v>
      </c>
      <c r="H66">
        <v>8.7782224435200007</v>
      </c>
      <c r="I66">
        <v>1310</v>
      </c>
    </row>
    <row r="67" spans="4:9" x14ac:dyDescent="0.25">
      <c r="D67">
        <v>40890.333333333336</v>
      </c>
      <c r="E67">
        <v>3.9643585228800005</v>
      </c>
      <c r="F67">
        <v>381</v>
      </c>
      <c r="G67">
        <v>40970.947916666664</v>
      </c>
      <c r="H67">
        <v>8.3251528980479996</v>
      </c>
      <c r="I67">
        <v>1240</v>
      </c>
    </row>
    <row r="68" spans="4:9" x14ac:dyDescent="0.25">
      <c r="D68">
        <v>40890.336805555555</v>
      </c>
      <c r="E68">
        <v>3.9077248296960003</v>
      </c>
      <c r="F68">
        <v>376</v>
      </c>
      <c r="G68">
        <v>40970.951388888891</v>
      </c>
      <c r="H68">
        <v>8.2685192048640008</v>
      </c>
      <c r="I68">
        <v>1180</v>
      </c>
    </row>
    <row r="69" spans="4:9" x14ac:dyDescent="0.25">
      <c r="D69">
        <v>40890.340277777781</v>
      </c>
      <c r="E69">
        <v>3.9643585228800005</v>
      </c>
      <c r="F69">
        <v>370</v>
      </c>
      <c r="G69">
        <v>40970.954861111109</v>
      </c>
      <c r="H69">
        <v>8.1552518184959997</v>
      </c>
      <c r="I69">
        <v>1110</v>
      </c>
    </row>
    <row r="70" spans="4:9" x14ac:dyDescent="0.25">
      <c r="D70">
        <v>40890.34375</v>
      </c>
      <c r="E70">
        <v>4.1342596024320004</v>
      </c>
      <c r="F70">
        <v>364</v>
      </c>
      <c r="G70">
        <v>40970.958333333336</v>
      </c>
      <c r="H70">
        <v>7.7304991196159998</v>
      </c>
      <c r="I70">
        <v>1050</v>
      </c>
    </row>
    <row r="71" spans="4:9" x14ac:dyDescent="0.25">
      <c r="D71">
        <v>40890.347222222219</v>
      </c>
      <c r="E71">
        <v>4.0209922160640001</v>
      </c>
      <c r="F71">
        <v>359</v>
      </c>
      <c r="G71">
        <v>40970.961805555555</v>
      </c>
      <c r="H71">
        <v>7.3906969605119999</v>
      </c>
      <c r="I71">
        <v>986</v>
      </c>
    </row>
    <row r="72" spans="4:9" x14ac:dyDescent="0.25">
      <c r="D72">
        <v>40890.350694444445</v>
      </c>
      <c r="E72">
        <v>3.9643585228800005</v>
      </c>
      <c r="F72">
        <v>353</v>
      </c>
      <c r="G72">
        <v>40970.965277777781</v>
      </c>
      <c r="H72">
        <v>7.2491127275520002</v>
      </c>
      <c r="I72">
        <v>921</v>
      </c>
    </row>
    <row r="73" spans="4:9" x14ac:dyDescent="0.25">
      <c r="D73">
        <v>40890.354166666664</v>
      </c>
      <c r="E73">
        <v>3.9077248296960003</v>
      </c>
      <c r="F73">
        <v>347</v>
      </c>
      <c r="G73">
        <v>40970.96875</v>
      </c>
      <c r="H73">
        <v>6.9376274150400006</v>
      </c>
      <c r="I73">
        <v>893</v>
      </c>
    </row>
    <row r="74" spans="4:9" x14ac:dyDescent="0.25">
      <c r="D74">
        <v>40890.357638888891</v>
      </c>
      <c r="E74">
        <v>3.9077248296960003</v>
      </c>
      <c r="F74">
        <v>342</v>
      </c>
      <c r="G74">
        <v>40970.972222222219</v>
      </c>
      <c r="H74">
        <v>6.711092642304</v>
      </c>
      <c r="I74">
        <v>866</v>
      </c>
    </row>
    <row r="75" spans="4:9" x14ac:dyDescent="0.25">
      <c r="D75">
        <v>40890.361111111109</v>
      </c>
      <c r="E75">
        <v>3.9926753694719999</v>
      </c>
      <c r="F75">
        <v>336</v>
      </c>
      <c r="G75">
        <v>40970.975694444445</v>
      </c>
      <c r="H75">
        <v>6.4562410229760001</v>
      </c>
      <c r="I75">
        <v>838</v>
      </c>
    </row>
    <row r="76" spans="4:9" x14ac:dyDescent="0.25">
      <c r="D76">
        <v>40890.364583333336</v>
      </c>
      <c r="E76">
        <v>4.0776259092479998</v>
      </c>
      <c r="F76">
        <v>330</v>
      </c>
      <c r="G76">
        <v>40970.979166666664</v>
      </c>
      <c r="H76">
        <v>6.2013894036480002</v>
      </c>
      <c r="I76">
        <v>810</v>
      </c>
    </row>
    <row r="77" spans="4:9" x14ac:dyDescent="0.25">
      <c r="D77">
        <v>40890.368055555555</v>
      </c>
      <c r="E77">
        <v>4.1625764490239998</v>
      </c>
      <c r="F77">
        <v>325</v>
      </c>
      <c r="G77">
        <v>40970.982638888891</v>
      </c>
      <c r="H77">
        <v>6.1164388638720002</v>
      </c>
      <c r="I77">
        <v>782</v>
      </c>
    </row>
    <row r="78" spans="4:9" x14ac:dyDescent="0.25">
      <c r="D78">
        <v>40890.371527777781</v>
      </c>
      <c r="E78">
        <v>3.9926753694719999</v>
      </c>
      <c r="F78">
        <v>319</v>
      </c>
      <c r="G78">
        <v>40970.986111111109</v>
      </c>
      <c r="H78">
        <v>6.0881220172800008</v>
      </c>
      <c r="I78">
        <v>755</v>
      </c>
    </row>
    <row r="79" spans="4:9" x14ac:dyDescent="0.25">
      <c r="D79">
        <v>40890.375</v>
      </c>
      <c r="E79">
        <v>4.0209922160640001</v>
      </c>
      <c r="F79">
        <v>313</v>
      </c>
      <c r="G79">
        <v>40970.989583333336</v>
      </c>
      <c r="H79">
        <v>5.9182209377280008</v>
      </c>
      <c r="I79">
        <v>727</v>
      </c>
    </row>
    <row r="80" spans="4:9" x14ac:dyDescent="0.25">
      <c r="D80">
        <v>40890.378472222219</v>
      </c>
      <c r="E80">
        <v>3.9360416762880002</v>
      </c>
      <c r="F80">
        <v>308</v>
      </c>
      <c r="G80">
        <v>40970.993055555555</v>
      </c>
      <c r="H80">
        <v>5.7200030115839997</v>
      </c>
      <c r="I80">
        <v>699</v>
      </c>
    </row>
    <row r="81" spans="4:9" x14ac:dyDescent="0.25">
      <c r="D81">
        <v>40890.381944444445</v>
      </c>
      <c r="E81">
        <v>3.9077248296960003</v>
      </c>
      <c r="F81">
        <v>302</v>
      </c>
      <c r="G81">
        <v>40970.996527777781</v>
      </c>
      <c r="H81">
        <v>5.6067356252159994</v>
      </c>
      <c r="I81">
        <v>671</v>
      </c>
    </row>
    <row r="82" spans="4:9" x14ac:dyDescent="0.25">
      <c r="D82">
        <v>40890.385416666664</v>
      </c>
      <c r="E82">
        <v>3.9360416762880002</v>
      </c>
      <c r="F82">
        <v>296</v>
      </c>
      <c r="G82">
        <v>40971</v>
      </c>
      <c r="H82">
        <v>5.5217850854400004</v>
      </c>
      <c r="I82">
        <v>644</v>
      </c>
    </row>
    <row r="83" spans="4:9" x14ac:dyDescent="0.25">
      <c r="D83">
        <v>40890.388888888891</v>
      </c>
      <c r="E83">
        <v>3.9077248296960003</v>
      </c>
      <c r="F83">
        <v>290</v>
      </c>
      <c r="G83">
        <v>40971.003472222219</v>
      </c>
      <c r="H83">
        <v>5.4085176990720001</v>
      </c>
      <c r="I83">
        <v>616</v>
      </c>
    </row>
    <row r="84" spans="4:9" x14ac:dyDescent="0.25">
      <c r="D84">
        <v>40890.392361111109</v>
      </c>
      <c r="E84">
        <v>3.8794079831040005</v>
      </c>
      <c r="F84">
        <v>285</v>
      </c>
      <c r="G84">
        <v>40971.006944444445</v>
      </c>
      <c r="H84">
        <v>5.3518840058880004</v>
      </c>
      <c r="I84">
        <v>588</v>
      </c>
    </row>
    <row r="85" spans="4:9" x14ac:dyDescent="0.25">
      <c r="D85">
        <v>40890.395833333336</v>
      </c>
      <c r="E85">
        <v>3.8227742899200003</v>
      </c>
      <c r="F85">
        <v>279</v>
      </c>
      <c r="G85">
        <v>40971.010416666664</v>
      </c>
      <c r="H85">
        <v>5.2386166195200001</v>
      </c>
      <c r="I85">
        <v>560</v>
      </c>
    </row>
    <row r="86" spans="4:9" x14ac:dyDescent="0.25">
      <c r="D86">
        <v>40890.399305555555</v>
      </c>
      <c r="E86">
        <v>3.7661405967360002</v>
      </c>
      <c r="F86">
        <v>273</v>
      </c>
      <c r="G86">
        <v>40971.013888888891</v>
      </c>
      <c r="H86">
        <v>5.1253492331519999</v>
      </c>
      <c r="I86">
        <v>542</v>
      </c>
    </row>
    <row r="87" spans="4:9" x14ac:dyDescent="0.25">
      <c r="D87">
        <v>40890.402777777781</v>
      </c>
      <c r="E87">
        <v>3.7378237501440004</v>
      </c>
      <c r="F87">
        <v>268</v>
      </c>
      <c r="G87">
        <v>40971.017361111109</v>
      </c>
      <c r="H87">
        <v>4.9271313070080005</v>
      </c>
      <c r="I87">
        <v>524</v>
      </c>
    </row>
    <row r="88" spans="4:9" x14ac:dyDescent="0.25">
      <c r="D88">
        <v>40890.40625</v>
      </c>
      <c r="E88">
        <v>3.7095069035520001</v>
      </c>
      <c r="F88">
        <v>262</v>
      </c>
      <c r="G88">
        <v>40971.020833333336</v>
      </c>
      <c r="H88">
        <v>4.7855470740480008</v>
      </c>
      <c r="I88">
        <v>505</v>
      </c>
    </row>
    <row r="89" spans="4:9" x14ac:dyDescent="0.25">
      <c r="D89">
        <v>40890.409722222219</v>
      </c>
      <c r="E89">
        <v>3.6528732103679999</v>
      </c>
      <c r="F89">
        <v>256</v>
      </c>
      <c r="G89">
        <v>40971.024305555555</v>
      </c>
      <c r="H89">
        <v>4.5873291479039997</v>
      </c>
      <c r="I89">
        <v>487</v>
      </c>
    </row>
    <row r="90" spans="4:9" x14ac:dyDescent="0.25">
      <c r="D90">
        <v>40890.413194444445</v>
      </c>
      <c r="E90">
        <v>3.6528732103679999</v>
      </c>
      <c r="F90">
        <v>251</v>
      </c>
      <c r="G90">
        <v>40971.027777777781</v>
      </c>
      <c r="H90">
        <v>4.5023786081280006</v>
      </c>
      <c r="I90">
        <v>468</v>
      </c>
    </row>
    <row r="91" spans="4:9" x14ac:dyDescent="0.25">
      <c r="D91">
        <v>40890.416666666664</v>
      </c>
      <c r="E91">
        <v>3.5962395171840003</v>
      </c>
      <c r="F91">
        <v>245</v>
      </c>
      <c r="G91">
        <v>40971.03125</v>
      </c>
      <c r="H91">
        <v>4.5873291479039997</v>
      </c>
      <c r="I91">
        <v>450</v>
      </c>
    </row>
    <row r="92" spans="4:9" x14ac:dyDescent="0.25">
      <c r="D92">
        <v>40890.420138888891</v>
      </c>
      <c r="E92">
        <v>3.5396058240000001</v>
      </c>
      <c r="F92">
        <v>239</v>
      </c>
      <c r="G92">
        <v>40971.034722222219</v>
      </c>
      <c r="H92">
        <v>4.4174280683519997</v>
      </c>
      <c r="I92">
        <v>432</v>
      </c>
    </row>
    <row r="93" spans="4:9" x14ac:dyDescent="0.25">
      <c r="D93">
        <v>40890.423611111109</v>
      </c>
      <c r="E93">
        <v>3.5396058240000001</v>
      </c>
      <c r="F93">
        <v>234</v>
      </c>
      <c r="G93">
        <v>40971.038194444445</v>
      </c>
      <c r="H93">
        <v>4.3607943751680001</v>
      </c>
      <c r="I93">
        <v>413</v>
      </c>
    </row>
    <row r="94" spans="4:9" x14ac:dyDescent="0.25">
      <c r="D94">
        <v>40890.427083333336</v>
      </c>
      <c r="E94">
        <v>3.482972130816</v>
      </c>
      <c r="F94">
        <v>228</v>
      </c>
      <c r="G94">
        <v>40971.041666666664</v>
      </c>
      <c r="H94">
        <v>4.3041606819839995</v>
      </c>
      <c r="I94">
        <v>395</v>
      </c>
    </row>
    <row r="95" spans="4:9" x14ac:dyDescent="0.25">
      <c r="D95">
        <v>40890.430555555555</v>
      </c>
      <c r="E95">
        <v>3.4546552842240001</v>
      </c>
      <c r="F95">
        <v>222</v>
      </c>
      <c r="G95">
        <v>40971.045138888891</v>
      </c>
      <c r="H95">
        <v>4.2758438353920001</v>
      </c>
      <c r="I95">
        <v>382</v>
      </c>
    </row>
    <row r="96" spans="4:9" x14ac:dyDescent="0.25">
      <c r="D96">
        <v>40890.434027777781</v>
      </c>
      <c r="E96">
        <v>3.3413878978560003</v>
      </c>
      <c r="F96">
        <v>217</v>
      </c>
      <c r="G96">
        <v>40971.048611111109</v>
      </c>
      <c r="H96">
        <v>4.1625764490239998</v>
      </c>
      <c r="I96">
        <v>371</v>
      </c>
    </row>
    <row r="97" spans="4:9" x14ac:dyDescent="0.25">
      <c r="D97">
        <v>40890.4375</v>
      </c>
      <c r="E97">
        <v>3.3130710512640005</v>
      </c>
      <c r="F97">
        <v>211</v>
      </c>
      <c r="G97">
        <v>40971.052083333336</v>
      </c>
      <c r="H97">
        <v>4.0209922160640001</v>
      </c>
      <c r="I97">
        <v>360</v>
      </c>
    </row>
    <row r="98" spans="4:9" x14ac:dyDescent="0.25">
      <c r="D98">
        <v>40890.440972222219</v>
      </c>
      <c r="E98">
        <v>3.3130710512640005</v>
      </c>
      <c r="F98">
        <v>205</v>
      </c>
      <c r="G98">
        <v>40971.055555555555</v>
      </c>
      <c r="H98">
        <v>4.0209922160640001</v>
      </c>
      <c r="I98">
        <v>349</v>
      </c>
    </row>
    <row r="99" spans="4:9" x14ac:dyDescent="0.25">
      <c r="D99">
        <v>40890.444444444445</v>
      </c>
      <c r="E99">
        <v>3.2847542046720002</v>
      </c>
      <c r="F99">
        <v>200</v>
      </c>
      <c r="G99">
        <v>40971.059027777781</v>
      </c>
      <c r="H99">
        <v>4.0209922160640001</v>
      </c>
      <c r="I99">
        <v>338</v>
      </c>
    </row>
    <row r="100" spans="4:9" x14ac:dyDescent="0.25">
      <c r="D100">
        <v>40890.447916666664</v>
      </c>
      <c r="E100">
        <v>3.2564373580800003</v>
      </c>
      <c r="F100">
        <v>194</v>
      </c>
      <c r="G100">
        <v>40971.0625</v>
      </c>
      <c r="H100">
        <v>3.9926753694719999</v>
      </c>
      <c r="I100">
        <v>328</v>
      </c>
    </row>
    <row r="101" spans="4:9" x14ac:dyDescent="0.25">
      <c r="D101">
        <v>40890.451388888891</v>
      </c>
      <c r="E101">
        <v>3.2281205114880001</v>
      </c>
      <c r="F101">
        <v>190</v>
      </c>
      <c r="G101">
        <v>40971.065972222219</v>
      </c>
      <c r="H101">
        <v>3.8794079831040005</v>
      </c>
      <c r="I101">
        <v>317</v>
      </c>
    </row>
    <row r="102" spans="4:9" x14ac:dyDescent="0.25">
      <c r="D102">
        <v>40890.454861111109</v>
      </c>
      <c r="E102">
        <v>3.2281205114880001</v>
      </c>
      <c r="F102">
        <v>186</v>
      </c>
      <c r="G102">
        <v>40971.069444444445</v>
      </c>
      <c r="H102">
        <v>3.7661405967360002</v>
      </c>
      <c r="I102">
        <v>306</v>
      </c>
    </row>
    <row r="103" spans="4:9" x14ac:dyDescent="0.25">
      <c r="D103">
        <v>40890.458333333336</v>
      </c>
      <c r="E103">
        <v>3.1714868183040004</v>
      </c>
      <c r="F103">
        <v>182</v>
      </c>
      <c r="G103">
        <v>40971.072916666664</v>
      </c>
      <c r="H103">
        <v>3.7944574433280001</v>
      </c>
      <c r="I103">
        <v>295</v>
      </c>
    </row>
    <row r="104" spans="4:9" x14ac:dyDescent="0.25">
      <c r="D104">
        <v>40890.461805555555</v>
      </c>
      <c r="E104">
        <v>3.1431699717120001</v>
      </c>
      <c r="F104">
        <v>178</v>
      </c>
      <c r="G104">
        <v>40971.076388888891</v>
      </c>
      <c r="H104">
        <v>3.7661405967360002</v>
      </c>
      <c r="I104">
        <v>284</v>
      </c>
    </row>
    <row r="105" spans="4:9" x14ac:dyDescent="0.25">
      <c r="D105">
        <v>40890.465277777781</v>
      </c>
      <c r="E105">
        <v>3.1998036648960002</v>
      </c>
      <c r="F105">
        <v>174</v>
      </c>
      <c r="G105">
        <v>40971.079861111109</v>
      </c>
      <c r="H105">
        <v>3.6811900569600002</v>
      </c>
      <c r="I105">
        <v>273</v>
      </c>
    </row>
    <row r="106" spans="4:9" x14ac:dyDescent="0.25">
      <c r="D106">
        <v>40890.46875</v>
      </c>
      <c r="E106">
        <v>3.1998036648960002</v>
      </c>
      <c r="F106">
        <v>170</v>
      </c>
      <c r="G106">
        <v>40971.083333333336</v>
      </c>
      <c r="H106">
        <v>3.6528732103679999</v>
      </c>
      <c r="I106">
        <v>262</v>
      </c>
    </row>
    <row r="107" spans="4:9" x14ac:dyDescent="0.25">
      <c r="D107">
        <v>40890.472222222219</v>
      </c>
      <c r="E107">
        <v>3.2281205114880001</v>
      </c>
      <c r="F107">
        <v>166</v>
      </c>
      <c r="G107">
        <v>40971.086805555555</v>
      </c>
      <c r="H107">
        <v>3.6528732103679999</v>
      </c>
      <c r="I107">
        <v>251</v>
      </c>
    </row>
    <row r="108" spans="4:9" x14ac:dyDescent="0.25">
      <c r="D108">
        <v>40890.475694444445</v>
      </c>
      <c r="E108">
        <v>3.1431699717120001</v>
      </c>
      <c r="F108">
        <v>161</v>
      </c>
      <c r="G108">
        <v>40971.090277777781</v>
      </c>
      <c r="H108">
        <v>3.567922670592</v>
      </c>
      <c r="I108">
        <v>241</v>
      </c>
    </row>
    <row r="109" spans="4:9" x14ac:dyDescent="0.25">
      <c r="D109">
        <v>40890.479166666664</v>
      </c>
      <c r="E109">
        <v>3.1148531251200002</v>
      </c>
      <c r="F109">
        <v>157</v>
      </c>
      <c r="G109">
        <v>40971.09375</v>
      </c>
      <c r="H109">
        <v>3.5112889774079998</v>
      </c>
      <c r="I109">
        <v>230</v>
      </c>
    </row>
    <row r="110" spans="4:9" x14ac:dyDescent="0.25">
      <c r="D110">
        <v>40890.482638888891</v>
      </c>
      <c r="E110">
        <v>3.1148531251200002</v>
      </c>
      <c r="F110">
        <v>153</v>
      </c>
      <c r="G110">
        <v>40971.097222222219</v>
      </c>
      <c r="H110">
        <v>3.5112889774079998</v>
      </c>
      <c r="I110">
        <v>227</v>
      </c>
    </row>
    <row r="111" spans="4:9" x14ac:dyDescent="0.25">
      <c r="D111">
        <v>40890.486111111109</v>
      </c>
      <c r="E111">
        <v>3.0582194319360001</v>
      </c>
      <c r="F111">
        <v>149</v>
      </c>
      <c r="G111">
        <v>40971.100694444445</v>
      </c>
      <c r="H111">
        <v>3.3697047444479997</v>
      </c>
      <c r="I111">
        <v>224</v>
      </c>
    </row>
    <row r="112" spans="4:9" x14ac:dyDescent="0.25">
      <c r="D112">
        <v>40890.489583333336</v>
      </c>
      <c r="E112">
        <v>3.0582194319360001</v>
      </c>
      <c r="F112">
        <v>145</v>
      </c>
      <c r="G112">
        <v>40971.104166666664</v>
      </c>
      <c r="H112">
        <v>3.4263384376319999</v>
      </c>
      <c r="I112">
        <v>221</v>
      </c>
    </row>
    <row r="113" spans="4:9" x14ac:dyDescent="0.25">
      <c r="D113">
        <v>40890.493055555555</v>
      </c>
      <c r="E113">
        <v>3.0582194319360001</v>
      </c>
      <c r="F113">
        <v>141</v>
      </c>
      <c r="G113">
        <v>40971.107638888891</v>
      </c>
      <c r="H113">
        <v>3.3413878978560003</v>
      </c>
      <c r="I113">
        <v>218</v>
      </c>
    </row>
    <row r="114" spans="4:9" x14ac:dyDescent="0.25">
      <c r="D114">
        <v>40890.496527777781</v>
      </c>
      <c r="E114">
        <v>3.001585738752</v>
      </c>
      <c r="F114">
        <v>137</v>
      </c>
      <c r="G114">
        <v>40971.111111111109</v>
      </c>
      <c r="H114">
        <v>3.3130710512640005</v>
      </c>
      <c r="I114">
        <v>216</v>
      </c>
    </row>
    <row r="115" spans="4:9" x14ac:dyDescent="0.25">
      <c r="D115">
        <v>40890.5</v>
      </c>
      <c r="E115">
        <v>3.001585738752</v>
      </c>
      <c r="F115">
        <v>133</v>
      </c>
      <c r="G115">
        <v>40971.114583333336</v>
      </c>
      <c r="H115">
        <v>3.2564373580800003</v>
      </c>
      <c r="I115">
        <v>213</v>
      </c>
    </row>
    <row r="116" spans="4:9" x14ac:dyDescent="0.25">
      <c r="D116">
        <v>40890.503472222219</v>
      </c>
      <c r="E116">
        <v>2.9449520455679998</v>
      </c>
      <c r="F116">
        <v>129</v>
      </c>
      <c r="G116">
        <v>40971.118055555555</v>
      </c>
      <c r="H116">
        <v>3.2564373580800003</v>
      </c>
      <c r="I116">
        <v>210</v>
      </c>
    </row>
    <row r="117" spans="4:9" x14ac:dyDescent="0.25">
      <c r="D117">
        <v>40890.506944444445</v>
      </c>
      <c r="E117">
        <v>2.8316846592</v>
      </c>
      <c r="F117">
        <v>125</v>
      </c>
      <c r="G117">
        <v>40971.121527777781</v>
      </c>
      <c r="H117">
        <v>3.1998036648960002</v>
      </c>
      <c r="I117">
        <v>207</v>
      </c>
    </row>
    <row r="118" spans="4:9" x14ac:dyDescent="0.25">
      <c r="D118">
        <v>40890.510416666664</v>
      </c>
      <c r="E118">
        <v>2.8316846592</v>
      </c>
      <c r="F118">
        <v>121</v>
      </c>
      <c r="G118">
        <v>40971.125</v>
      </c>
      <c r="H118">
        <v>3.1998036648960002</v>
      </c>
      <c r="I118">
        <v>204</v>
      </c>
    </row>
    <row r="119" spans="4:9" x14ac:dyDescent="0.25">
      <c r="D119">
        <v>40890.513888888891</v>
      </c>
      <c r="E119">
        <v>2.7920410739712</v>
      </c>
      <c r="F119">
        <v>117</v>
      </c>
      <c r="G119">
        <v>40971.128472222219</v>
      </c>
      <c r="H119">
        <v>3.1714868183040004</v>
      </c>
      <c r="I119">
        <v>202</v>
      </c>
    </row>
    <row r="120" spans="4:9" x14ac:dyDescent="0.25">
      <c r="D120">
        <v>40890.517361111109</v>
      </c>
      <c r="E120">
        <v>2.7920410739712</v>
      </c>
      <c r="F120">
        <v>113</v>
      </c>
      <c r="G120">
        <v>40971.131944444445</v>
      </c>
      <c r="H120">
        <v>3.1148531251200002</v>
      </c>
      <c r="I120">
        <v>199</v>
      </c>
    </row>
    <row r="121" spans="4:9" x14ac:dyDescent="0.25">
      <c r="D121">
        <v>40890.520833333336</v>
      </c>
      <c r="E121">
        <v>2.7523974887424001</v>
      </c>
      <c r="F121">
        <v>109</v>
      </c>
      <c r="G121">
        <v>40971.135416666664</v>
      </c>
      <c r="H121">
        <v>3.1431699717120001</v>
      </c>
      <c r="I121">
        <v>196</v>
      </c>
    </row>
    <row r="122" spans="4:9" x14ac:dyDescent="0.25">
      <c r="D122">
        <v>40890.524305555555</v>
      </c>
      <c r="E122">
        <v>2.6702786336256001</v>
      </c>
      <c r="F122">
        <v>105</v>
      </c>
      <c r="G122">
        <v>40971.138888888891</v>
      </c>
      <c r="H122">
        <v>3.1148531251200002</v>
      </c>
      <c r="I122">
        <v>193</v>
      </c>
    </row>
    <row r="123" spans="4:9" x14ac:dyDescent="0.25">
      <c r="D123">
        <v>40890.527777777781</v>
      </c>
      <c r="E123">
        <v>2.6306350483968002</v>
      </c>
      <c r="F123">
        <v>100</v>
      </c>
      <c r="G123">
        <v>40971.142361111109</v>
      </c>
      <c r="H123">
        <v>3.0865362785279999</v>
      </c>
      <c r="I123">
        <v>190</v>
      </c>
    </row>
    <row r="124" spans="4:9" x14ac:dyDescent="0.25">
      <c r="D124">
        <v>40890.53125</v>
      </c>
      <c r="E124">
        <v>2.6306350483968002</v>
      </c>
      <c r="F124">
        <v>96.4</v>
      </c>
      <c r="G124">
        <v>40971.145833333336</v>
      </c>
      <c r="H124">
        <v>3.0299025853440003</v>
      </c>
      <c r="I124">
        <v>188</v>
      </c>
    </row>
    <row r="125" spans="4:9" x14ac:dyDescent="0.25">
      <c r="D125">
        <v>40890.534722222219</v>
      </c>
      <c r="E125">
        <v>2.5881597785088002</v>
      </c>
      <c r="F125">
        <v>92.3</v>
      </c>
      <c r="G125">
        <v>40971.149305555555</v>
      </c>
      <c r="H125">
        <v>3.001585738752</v>
      </c>
      <c r="I125">
        <v>185</v>
      </c>
    </row>
    <row r="126" spans="4:9" x14ac:dyDescent="0.25">
      <c r="D126">
        <v>40890.538194444445</v>
      </c>
      <c r="E126">
        <v>2.5485161932800002</v>
      </c>
      <c r="F126">
        <v>88.3</v>
      </c>
      <c r="G126">
        <v>40971.152777777781</v>
      </c>
      <c r="H126">
        <v>3.001585738752</v>
      </c>
      <c r="I126">
        <v>182</v>
      </c>
    </row>
    <row r="127" spans="4:9" x14ac:dyDescent="0.25">
      <c r="D127">
        <v>40890.541666666664</v>
      </c>
      <c r="E127">
        <v>2.4890508154368005</v>
      </c>
      <c r="F127">
        <v>88.3</v>
      </c>
      <c r="G127">
        <v>40971.15625</v>
      </c>
      <c r="H127">
        <v>2.916635198976</v>
      </c>
      <c r="I127">
        <v>179</v>
      </c>
    </row>
    <row r="128" spans="4:9" x14ac:dyDescent="0.25">
      <c r="D128">
        <v>40890.545138888891</v>
      </c>
      <c r="E128">
        <v>2.4295854375935999</v>
      </c>
      <c r="F128">
        <v>88.4</v>
      </c>
      <c r="G128">
        <v>40971.159722222219</v>
      </c>
      <c r="H128">
        <v>2.8883183523840001</v>
      </c>
      <c r="I128">
        <v>176</v>
      </c>
    </row>
    <row r="129" spans="7:9" x14ac:dyDescent="0.25">
      <c r="G129">
        <v>40971.163194444445</v>
      </c>
      <c r="H129">
        <v>2.8883183523840001</v>
      </c>
      <c r="I129">
        <v>174</v>
      </c>
    </row>
    <row r="130" spans="7:9" x14ac:dyDescent="0.25">
      <c r="G130">
        <v>40971.166666666664</v>
      </c>
      <c r="H130">
        <v>2.8316846592</v>
      </c>
      <c r="I130">
        <v>171</v>
      </c>
    </row>
    <row r="131" spans="7:9" x14ac:dyDescent="0.25">
      <c r="G131">
        <v>40971.170138888891</v>
      </c>
      <c r="H131">
        <v>2.7920410739712</v>
      </c>
      <c r="I131">
        <v>168</v>
      </c>
    </row>
    <row r="132" spans="7:9" x14ac:dyDescent="0.25">
      <c r="G132">
        <v>40971.173611111109</v>
      </c>
      <c r="H132">
        <v>2.7920410739712</v>
      </c>
      <c r="I132">
        <v>165</v>
      </c>
    </row>
    <row r="133" spans="7:9" x14ac:dyDescent="0.25">
      <c r="G133">
        <v>40971.177083333336</v>
      </c>
      <c r="H133">
        <v>2.7523974887424001</v>
      </c>
      <c r="I133">
        <v>162</v>
      </c>
    </row>
    <row r="134" spans="7:9" x14ac:dyDescent="0.25">
      <c r="G134">
        <v>40971.180555555555</v>
      </c>
      <c r="H134">
        <v>2.7127539035136001</v>
      </c>
      <c r="I134">
        <v>160</v>
      </c>
    </row>
    <row r="135" spans="7:9" x14ac:dyDescent="0.25">
      <c r="G135">
        <v>40971.184027777781</v>
      </c>
      <c r="H135">
        <v>2.7127539035136001</v>
      </c>
      <c r="I135">
        <v>157</v>
      </c>
    </row>
    <row r="136" spans="7:9" x14ac:dyDescent="0.25">
      <c r="G136">
        <v>40971.1875</v>
      </c>
      <c r="H136">
        <v>2.6702786336256001</v>
      </c>
      <c r="I136">
        <v>154</v>
      </c>
    </row>
    <row r="137" spans="7:9" x14ac:dyDescent="0.25">
      <c r="G137">
        <v>40971.190972222219</v>
      </c>
      <c r="H137">
        <v>2.6702786336256001</v>
      </c>
      <c r="I137">
        <v>151</v>
      </c>
    </row>
    <row r="138" spans="7:9" x14ac:dyDescent="0.25">
      <c r="G138">
        <v>40971.194444444445</v>
      </c>
      <c r="H138">
        <v>2.6702786336256001</v>
      </c>
      <c r="I138">
        <v>148</v>
      </c>
    </row>
    <row r="139" spans="7:9" x14ac:dyDescent="0.25">
      <c r="G139">
        <v>40971.197916666664</v>
      </c>
      <c r="H139">
        <v>2.5881597785088002</v>
      </c>
      <c r="I139">
        <v>146</v>
      </c>
    </row>
    <row r="140" spans="7:9" x14ac:dyDescent="0.25">
      <c r="G140">
        <v>40971.201388888891</v>
      </c>
      <c r="H140">
        <v>2.5485161932800002</v>
      </c>
      <c r="I140">
        <v>143</v>
      </c>
    </row>
    <row r="141" spans="7:9" x14ac:dyDescent="0.25">
      <c r="G141">
        <v>40971.204861111109</v>
      </c>
      <c r="H141">
        <v>2.5485161932800002</v>
      </c>
      <c r="I141">
        <v>137</v>
      </c>
    </row>
    <row r="142" spans="7:9" x14ac:dyDescent="0.25">
      <c r="G142">
        <v>40971.208333333336</v>
      </c>
      <c r="H142">
        <v>2.5485161932800002</v>
      </c>
      <c r="I142">
        <v>131</v>
      </c>
    </row>
    <row r="143" spans="7:9" x14ac:dyDescent="0.25">
      <c r="G143">
        <v>40971.211805555555</v>
      </c>
      <c r="H143">
        <v>2.4295854375935999</v>
      </c>
      <c r="I143">
        <v>125</v>
      </c>
    </row>
    <row r="144" spans="7:9" x14ac:dyDescent="0.25">
      <c r="G144">
        <v>40971.215277777781</v>
      </c>
      <c r="H144">
        <v>2.3701200597504002</v>
      </c>
      <c r="I144">
        <v>120</v>
      </c>
    </row>
    <row r="145" spans="7:9" x14ac:dyDescent="0.25">
      <c r="G145">
        <v>40971.21875</v>
      </c>
      <c r="H145">
        <v>2.3106546819072</v>
      </c>
      <c r="I145">
        <v>114</v>
      </c>
    </row>
    <row r="146" spans="7:9" x14ac:dyDescent="0.25">
      <c r="G146">
        <v>40971.222222222219</v>
      </c>
      <c r="H146">
        <v>2.2540209887231999</v>
      </c>
      <c r="I146">
        <v>108</v>
      </c>
    </row>
    <row r="147" spans="7:9" x14ac:dyDescent="0.25">
      <c r="G147">
        <v>40971.225694444445</v>
      </c>
      <c r="H147">
        <v>2.2540209887231999</v>
      </c>
      <c r="I147">
        <v>102</v>
      </c>
    </row>
    <row r="148" spans="7:9" x14ac:dyDescent="0.25">
      <c r="G148">
        <v>40971.229166666664</v>
      </c>
      <c r="H148">
        <v>2.2540209887231999</v>
      </c>
      <c r="I148">
        <v>96.2</v>
      </c>
    </row>
    <row r="149" spans="7:9" x14ac:dyDescent="0.25">
      <c r="G149">
        <v>40971.232638888891</v>
      </c>
      <c r="H149">
        <v>2.0586347472384001</v>
      </c>
      <c r="I149">
        <v>90.3</v>
      </c>
    </row>
    <row r="150" spans="7:9" x14ac:dyDescent="0.25">
      <c r="G150">
        <v>40971.236111111109</v>
      </c>
      <c r="H150">
        <v>2.0586347472384001</v>
      </c>
      <c r="I150">
        <v>84.5</v>
      </c>
    </row>
    <row r="151" spans="7:9" x14ac:dyDescent="0.25">
      <c r="G151">
        <v>40971.239583333336</v>
      </c>
      <c r="H151">
        <v>2.0586347472384001</v>
      </c>
      <c r="I151">
        <v>78.599999999999994</v>
      </c>
    </row>
    <row r="152" spans="7:9" x14ac:dyDescent="0.25">
      <c r="G152">
        <v>40971.243055555555</v>
      </c>
      <c r="H152">
        <v>1.9283772529151999</v>
      </c>
      <c r="I152">
        <v>72.8</v>
      </c>
    </row>
    <row r="153" spans="7:9" x14ac:dyDescent="0.25">
      <c r="G153">
        <v>40971.246527777781</v>
      </c>
      <c r="H153">
        <v>1.9283772529151999</v>
      </c>
      <c r="I153">
        <v>66.900000000000006</v>
      </c>
    </row>
    <row r="154" spans="7:9" x14ac:dyDescent="0.25">
      <c r="G154">
        <v>40971.25</v>
      </c>
      <c r="H154">
        <v>1.8632485057536001</v>
      </c>
      <c r="I154">
        <v>61.1</v>
      </c>
    </row>
    <row r="155" spans="7:9" x14ac:dyDescent="0.25">
      <c r="G155">
        <v>40971.253472222219</v>
      </c>
      <c r="H155">
        <v>1.8179415512064001</v>
      </c>
      <c r="I155">
        <v>55.3</v>
      </c>
    </row>
    <row r="156" spans="7:9" x14ac:dyDescent="0.25">
      <c r="G156">
        <v>40971.256944444445</v>
      </c>
      <c r="H156">
        <v>1.7698029120000001</v>
      </c>
      <c r="I156">
        <v>54.8</v>
      </c>
    </row>
  </sheetData>
  <mergeCells count="3">
    <mergeCell ref="A1:C1"/>
    <mergeCell ref="D1:F1"/>
    <mergeCell ref="G1:I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7FCBC-E88B-4381-99FD-D9B3E4E09428}">
  <sheetPr codeName="Sheet6"/>
  <dimension ref="A1:AS1"/>
  <sheetViews>
    <sheetView topLeftCell="F1" workbookViewId="0">
      <selection activeCell="N4" sqref="N4"/>
    </sheetView>
  </sheetViews>
  <sheetFormatPr defaultRowHeight="15" x14ac:dyDescent="0.25"/>
  <cols>
    <col min="3" max="3" width="57.42578125" customWidth="1"/>
    <col min="6" max="6" width="16.140625" customWidth="1"/>
    <col min="9" max="9" width="18.7109375" customWidth="1"/>
    <col min="10" max="10" width="24.42578125" customWidth="1"/>
    <col min="11" max="11" width="26" customWidth="1"/>
    <col min="12" max="12" width="25" customWidth="1"/>
    <col min="13" max="14" width="15.5703125" customWidth="1"/>
    <col min="15" max="15" width="20.28515625" customWidth="1"/>
    <col min="16" max="39" width="9.140625" style="16"/>
  </cols>
  <sheetData>
    <row r="1" spans="1:45" x14ac:dyDescent="0.25">
      <c r="A1" s="13" t="s">
        <v>23</v>
      </c>
      <c r="B1" s="12" t="s">
        <v>24</v>
      </c>
      <c r="C1" s="12" t="s">
        <v>25</v>
      </c>
      <c r="D1" s="12" t="s">
        <v>26</v>
      </c>
      <c r="E1" s="12" t="s">
        <v>27</v>
      </c>
      <c r="F1" s="12" t="s">
        <v>28</v>
      </c>
      <c r="G1" s="12" t="s">
        <v>29</v>
      </c>
      <c r="H1" s="12" t="s">
        <v>30</v>
      </c>
      <c r="I1" s="12" t="s">
        <v>87</v>
      </c>
      <c r="J1" s="12" t="s">
        <v>88</v>
      </c>
      <c r="K1" s="12" t="s">
        <v>89</v>
      </c>
      <c r="L1" s="12" t="s">
        <v>31</v>
      </c>
      <c r="M1" s="12" t="s">
        <v>32</v>
      </c>
      <c r="N1" s="12" t="s">
        <v>106</v>
      </c>
      <c r="O1" s="12" t="s">
        <v>90</v>
      </c>
      <c r="P1" s="21" t="s">
        <v>33</v>
      </c>
      <c r="Q1" s="21" t="s">
        <v>50</v>
      </c>
      <c r="R1" s="21" t="s">
        <v>34</v>
      </c>
      <c r="S1" s="21" t="s">
        <v>91</v>
      </c>
      <c r="T1" s="21" t="s">
        <v>92</v>
      </c>
      <c r="U1" s="21" t="s">
        <v>35</v>
      </c>
      <c r="V1" s="21" t="s">
        <v>51</v>
      </c>
      <c r="W1" s="21" t="s">
        <v>36</v>
      </c>
      <c r="X1" s="21" t="s">
        <v>93</v>
      </c>
      <c r="Y1" s="21" t="s">
        <v>94</v>
      </c>
      <c r="Z1" s="21" t="s">
        <v>37</v>
      </c>
      <c r="AA1" s="21" t="s">
        <v>52</v>
      </c>
      <c r="AB1" s="21" t="s">
        <v>38</v>
      </c>
      <c r="AC1" s="21" t="s">
        <v>95</v>
      </c>
      <c r="AD1" s="21" t="s">
        <v>96</v>
      </c>
      <c r="AE1" s="21" t="s">
        <v>39</v>
      </c>
      <c r="AF1" s="21" t="s">
        <v>53</v>
      </c>
      <c r="AG1" s="21" t="s">
        <v>40</v>
      </c>
      <c r="AH1" s="21" t="s">
        <v>97</v>
      </c>
      <c r="AI1" s="21" t="s">
        <v>98</v>
      </c>
      <c r="AJ1" s="21" t="s">
        <v>41</v>
      </c>
      <c r="AK1" s="21" t="s">
        <v>54</v>
      </c>
      <c r="AL1" s="21" t="s">
        <v>42</v>
      </c>
      <c r="AM1" s="21" t="s">
        <v>99</v>
      </c>
      <c r="AN1" s="21" t="s">
        <v>100</v>
      </c>
      <c r="AO1" s="21" t="s">
        <v>101</v>
      </c>
      <c r="AP1" s="21" t="s">
        <v>102</v>
      </c>
      <c r="AQ1" s="21" t="s">
        <v>103</v>
      </c>
      <c r="AR1" s="21" t="s">
        <v>104</v>
      </c>
      <c r="AS1" s="22" t="s">
        <v>105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DD243-68F0-4581-A579-8DBE2F2E5E7A}">
  <sheetPr codeName="Sheet7"/>
  <dimension ref="A1:B1"/>
  <sheetViews>
    <sheetView workbookViewId="0">
      <selection activeCell="L16" sqref="L16"/>
    </sheetView>
  </sheetViews>
  <sheetFormatPr defaultRowHeight="15" x14ac:dyDescent="0.25"/>
  <sheetData>
    <row r="1" spans="1:2" x14ac:dyDescent="0.25">
      <c r="A1" t="s">
        <v>43</v>
      </c>
      <c r="B1"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9FE72-F865-4660-8541-6F219B4C27D1}">
  <sheetPr codeName="Sheet3"/>
  <dimension ref="A1"/>
  <sheetViews>
    <sheetView topLeftCell="A13" workbookViewId="0">
      <selection activeCell="I31" sqref="I3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Data-launch </vt:lpstr>
      <vt:lpstr>Sheet1</vt:lpstr>
      <vt:lpstr>Sheet3</vt:lpstr>
      <vt:lpstr>Events</vt:lpstr>
      <vt:lpstr>Data</vt:lpstr>
      <vt:lpstr>Sheet4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farouk Franco Echo</dc:creator>
  <cp:lastModifiedBy>Echo</cp:lastModifiedBy>
  <dcterms:created xsi:type="dcterms:W3CDTF">2018-11-07T21:25:41Z</dcterms:created>
  <dcterms:modified xsi:type="dcterms:W3CDTF">2020-06-23T18:14:54Z</dcterms:modified>
</cp:coreProperties>
</file>